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Investing\Stocks\netnets\trilogiq\"/>
    </mc:Choice>
  </mc:AlternateContent>
  <xr:revisionPtr revIDLastSave="0" documentId="13_ncr:1_{71B00714-FFD3-408E-8001-062F6975626F}" xr6:coauthVersionLast="47" xr6:coauthVersionMax="47" xr10:uidLastSave="{00000000-0000-0000-0000-000000000000}"/>
  <bookViews>
    <workbookView xWindow="2955" yWindow="0" windowWidth="18165" windowHeight="14970" tabRatio="626" activeTab="4" xr2:uid="{00000000-000D-0000-FFFF-FFFF00000000}"/>
  </bookViews>
  <sheets>
    <sheet name="Overview" sheetId="1" r:id="rId1"/>
    <sheet name="ncav" sheetId="2" r:id="rId2"/>
    <sheet name="profitability" sheetId="3" r:id="rId3"/>
    <sheet name="piotrosky" sheetId="4" r:id="rId4"/>
    <sheet name="C7" sheetId="5" r:id="rId5"/>
    <sheet name="ro" sheetId="6" r:id="rId6"/>
    <sheet name="ownership" sheetId="7" r:id="rId7"/>
    <sheet name="trilogiq_IS" sheetId="8" r:id="rId8"/>
    <sheet name="trilogiq_bs" sheetId="9" r:id="rId9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2" i="3"/>
  <c r="E2" i="3"/>
  <c r="E3" i="3" s="1"/>
  <c r="F2" i="3"/>
  <c r="G2" i="3"/>
  <c r="H2" i="3"/>
  <c r="I2" i="3"/>
  <c r="I4" i="3" s="1"/>
  <c r="J2" i="3"/>
  <c r="K2" i="3"/>
  <c r="L2" i="3"/>
  <c r="M2" i="3"/>
  <c r="N2" i="3"/>
  <c r="N4" i="3" s="1"/>
  <c r="O2" i="3"/>
  <c r="O4" i="3" s="1"/>
  <c r="P2" i="3"/>
  <c r="Q2" i="3"/>
  <c r="Q4" i="3" s="1"/>
  <c r="R2" i="3"/>
  <c r="W4" i="3" s="1"/>
  <c r="S2" i="3"/>
  <c r="T2" i="3"/>
  <c r="U2" i="3"/>
  <c r="U3" i="3" s="1"/>
  <c r="V2" i="3"/>
  <c r="W2" i="3"/>
  <c r="X2" i="3"/>
  <c r="Y2" i="3"/>
  <c r="Z2" i="3"/>
  <c r="Z4" i="3" s="1"/>
  <c r="AA2" i="3"/>
  <c r="AA4" i="3" s="1"/>
  <c r="AB2" i="3"/>
  <c r="AC2" i="3"/>
  <c r="AD2" i="3"/>
  <c r="AD4" i="3" s="1"/>
  <c r="AE2" i="3"/>
  <c r="AF2" i="3"/>
  <c r="AF4" i="3" s="1"/>
  <c r="AG2" i="3"/>
  <c r="AG11" i="3" s="1"/>
  <c r="AH2" i="3"/>
  <c r="AI2" i="3"/>
  <c r="AJ2" i="3"/>
  <c r="AK2" i="3"/>
  <c r="AL2" i="3"/>
  <c r="AL4" i="3" s="1"/>
  <c r="AM2" i="3"/>
  <c r="AM4" i="3" s="1"/>
  <c r="AN2" i="3"/>
  <c r="AO2" i="3"/>
  <c r="AO4" i="3" s="1"/>
  <c r="AP2" i="3"/>
  <c r="AP4" i="3" s="1"/>
  <c r="AE10" i="3"/>
  <c r="AF10" i="3"/>
  <c r="AF11" i="3" s="1"/>
  <c r="AG10" i="3"/>
  <c r="AH10" i="3"/>
  <c r="AI10" i="3"/>
  <c r="AJ10" i="3"/>
  <c r="AK10" i="3"/>
  <c r="AL10" i="3"/>
  <c r="AM10" i="3"/>
  <c r="AN10" i="3"/>
  <c r="AN11" i="3" s="1"/>
  <c r="AO10" i="3"/>
  <c r="AO11" i="3" s="1"/>
  <c r="AP10" i="3"/>
  <c r="AD10" i="3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D20" i="2"/>
  <c r="AK31" i="6"/>
  <c r="Y31" i="6"/>
  <c r="M31" i="6"/>
  <c r="J31" i="6"/>
  <c r="AK30" i="6"/>
  <c r="Y30" i="6"/>
  <c r="M30" i="6"/>
  <c r="AK28" i="6"/>
  <c r="AH28" i="6"/>
  <c r="Y28" i="6"/>
  <c r="V28" i="6"/>
  <c r="M28" i="6"/>
  <c r="J28" i="6"/>
  <c r="AK27" i="6"/>
  <c r="Y27" i="6"/>
  <c r="M27" i="6"/>
  <c r="T14" i="6"/>
  <c r="T21" i="6" s="1"/>
  <c r="H14" i="6"/>
  <c r="H21" i="6" s="1"/>
  <c r="AP10" i="6"/>
  <c r="AO10" i="6"/>
  <c r="AN10" i="6"/>
  <c r="AM10" i="6"/>
  <c r="AL10" i="6"/>
  <c r="AK10" i="6"/>
  <c r="AK17" i="6" s="1"/>
  <c r="AK24" i="6" s="1"/>
  <c r="AJ10" i="6"/>
  <c r="AI10" i="6"/>
  <c r="AH10" i="6"/>
  <c r="AG10" i="6"/>
  <c r="AF10" i="6"/>
  <c r="AG31" i="6" s="1"/>
  <c r="AE10" i="6"/>
  <c r="AD10" i="6"/>
  <c r="AC10" i="6"/>
  <c r="AB10" i="6"/>
  <c r="AA10" i="6"/>
  <c r="Z10" i="6"/>
  <c r="Y10" i="6"/>
  <c r="Y17" i="6" s="1"/>
  <c r="Y24" i="6" s="1"/>
  <c r="X10" i="6"/>
  <c r="W10" i="6"/>
  <c r="V10" i="6"/>
  <c r="U10" i="6"/>
  <c r="T10" i="6"/>
  <c r="U31" i="6" s="1"/>
  <c r="S10" i="6"/>
  <c r="R10" i="6"/>
  <c r="Q10" i="6"/>
  <c r="Q17" i="6" s="1"/>
  <c r="Q24" i="6" s="1"/>
  <c r="P10" i="6"/>
  <c r="P14" i="6" s="1"/>
  <c r="P21" i="6" s="1"/>
  <c r="O10" i="6"/>
  <c r="N10" i="6"/>
  <c r="M10" i="6"/>
  <c r="M17" i="6" s="1"/>
  <c r="M24" i="6" s="1"/>
  <c r="L10" i="6"/>
  <c r="K10" i="6"/>
  <c r="J10" i="6"/>
  <c r="I10" i="6"/>
  <c r="H10" i="6"/>
  <c r="I31" i="6" s="1"/>
  <c r="G10" i="6"/>
  <c r="F10" i="6"/>
  <c r="E10" i="6"/>
  <c r="E14" i="6" s="1"/>
  <c r="E21" i="6" s="1"/>
  <c r="D10" i="6"/>
  <c r="D14" i="6" s="1"/>
  <c r="D21" i="6" s="1"/>
  <c r="C10" i="6"/>
  <c r="AP9" i="6"/>
  <c r="AO9" i="6"/>
  <c r="AP30" i="6" s="1"/>
  <c r="AN9" i="6"/>
  <c r="AM9" i="6"/>
  <c r="AL9" i="6"/>
  <c r="AK9" i="6"/>
  <c r="AJ9" i="6"/>
  <c r="AI9" i="6"/>
  <c r="AH9" i="6"/>
  <c r="AG9" i="6"/>
  <c r="AF9" i="6"/>
  <c r="AG30" i="6" s="1"/>
  <c r="AE9" i="6"/>
  <c r="AD9" i="6"/>
  <c r="AC9" i="6"/>
  <c r="AD30" i="6" s="1"/>
  <c r="AB9" i="6"/>
  <c r="AA9" i="6"/>
  <c r="Z9" i="6"/>
  <c r="Y9" i="6"/>
  <c r="Y16" i="6" s="1"/>
  <c r="Y23" i="6" s="1"/>
  <c r="X9" i="6"/>
  <c r="W9" i="6"/>
  <c r="V9" i="6"/>
  <c r="U9" i="6"/>
  <c r="T9" i="6"/>
  <c r="U30" i="6" s="1"/>
  <c r="S9" i="6"/>
  <c r="R9" i="6"/>
  <c r="Q9" i="6"/>
  <c r="R30" i="6" s="1"/>
  <c r="P9" i="6"/>
  <c r="O9" i="6"/>
  <c r="N9" i="6"/>
  <c r="M9" i="6"/>
  <c r="M16" i="6" s="1"/>
  <c r="M23" i="6" s="1"/>
  <c r="L9" i="6"/>
  <c r="K9" i="6"/>
  <c r="J9" i="6"/>
  <c r="I9" i="6"/>
  <c r="H9" i="6"/>
  <c r="I30" i="6" s="1"/>
  <c r="G9" i="6"/>
  <c r="F9" i="6"/>
  <c r="E9" i="6"/>
  <c r="E13" i="6" s="1"/>
  <c r="E20" i="6" s="1"/>
  <c r="D9" i="6"/>
  <c r="C9" i="6"/>
  <c r="AP8" i="6"/>
  <c r="AO8" i="6"/>
  <c r="AN8" i="6"/>
  <c r="AM8" i="6"/>
  <c r="AL8" i="6"/>
  <c r="AK8" i="6"/>
  <c r="AJ8" i="6"/>
  <c r="AI8" i="6"/>
  <c r="AH8" i="6"/>
  <c r="AG8" i="6"/>
  <c r="AG33" i="6" s="1"/>
  <c r="AF8" i="6"/>
  <c r="AE8" i="6"/>
  <c r="AD8" i="6"/>
  <c r="AC8" i="6"/>
  <c r="AB8" i="6"/>
  <c r="AA8" i="6"/>
  <c r="Z8" i="6"/>
  <c r="Y8" i="6"/>
  <c r="X8" i="6"/>
  <c r="W8" i="6"/>
  <c r="V8" i="6"/>
  <c r="U8" i="6"/>
  <c r="U33" i="6" s="1"/>
  <c r="T8" i="6"/>
  <c r="T33" i="6" s="1"/>
  <c r="S8" i="6"/>
  <c r="R8" i="6"/>
  <c r="Q8" i="6"/>
  <c r="P8" i="6"/>
  <c r="O8" i="6"/>
  <c r="N8" i="6"/>
  <c r="M8" i="6"/>
  <c r="M33" i="6" s="1"/>
  <c r="L8" i="6"/>
  <c r="K8" i="6"/>
  <c r="J8" i="6"/>
  <c r="J33" i="6" s="1"/>
  <c r="I8" i="6"/>
  <c r="I33" i="6" s="1"/>
  <c r="H8" i="6"/>
  <c r="H33" i="6" s="1"/>
  <c r="G8" i="6"/>
  <c r="F8" i="6"/>
  <c r="E8" i="6"/>
  <c r="D8" i="6"/>
  <c r="C8" i="6"/>
  <c r="AL6" i="6"/>
  <c r="AC6" i="6"/>
  <c r="AC16" i="6" s="1"/>
  <c r="AC23" i="6" s="1"/>
  <c r="Z6" i="6"/>
  <c r="Y6" i="6"/>
  <c r="Q6" i="6"/>
  <c r="Q16" i="6" s="1"/>
  <c r="Q23" i="6" s="1"/>
  <c r="N6" i="6"/>
  <c r="M6" i="6"/>
  <c r="AP5" i="6"/>
  <c r="AO5" i="6"/>
  <c r="AN5" i="6"/>
  <c r="AM5" i="6"/>
  <c r="AL5" i="6"/>
  <c r="AK5" i="6"/>
  <c r="AJ5" i="6"/>
  <c r="AI5" i="6"/>
  <c r="AH5" i="6"/>
  <c r="AG5" i="6"/>
  <c r="AF5" i="6"/>
  <c r="AH31" i="6" s="1"/>
  <c r="AE5" i="6"/>
  <c r="AD5" i="6"/>
  <c r="AC5" i="6"/>
  <c r="AO6" i="6" s="1"/>
  <c r="AO16" i="6" s="1"/>
  <c r="AO23" i="6" s="1"/>
  <c r="AB5" i="6"/>
  <c r="AA5" i="6"/>
  <c r="Z5" i="6"/>
  <c r="Y5" i="6"/>
  <c r="X5" i="6"/>
  <c r="W5" i="6"/>
  <c r="AK6" i="6" s="1"/>
  <c r="V5" i="6"/>
  <c r="U5" i="6"/>
  <c r="T5" i="6"/>
  <c r="U6" i="6" s="1"/>
  <c r="S5" i="6"/>
  <c r="R5" i="6"/>
  <c r="S6" i="6" s="1"/>
  <c r="Q5" i="6"/>
  <c r="R6" i="6" s="1"/>
  <c r="P5" i="6"/>
  <c r="O5" i="6"/>
  <c r="P6" i="6" s="1"/>
  <c r="N5" i="6"/>
  <c r="O6" i="6" s="1"/>
  <c r="M5" i="6"/>
  <c r="L5" i="6"/>
  <c r="K5" i="6"/>
  <c r="L6" i="6" s="1"/>
  <c r="J5" i="6"/>
  <c r="K6" i="6" s="1"/>
  <c r="I5" i="6"/>
  <c r="J6" i="6" s="1"/>
  <c r="H5" i="6"/>
  <c r="I6" i="6" s="1"/>
  <c r="G5" i="6"/>
  <c r="F5" i="6"/>
  <c r="G6" i="6" s="1"/>
  <c r="E5" i="6"/>
  <c r="F6" i="6" s="1"/>
  <c r="D5" i="6"/>
  <c r="C5" i="6"/>
  <c r="D6" i="6" s="1"/>
  <c r="AJ3" i="6"/>
  <c r="AG3" i="6"/>
  <c r="U3" i="6"/>
  <c r="T3" i="6"/>
  <c r="I3" i="6"/>
  <c r="H3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X3" i="6" s="1"/>
  <c r="W2" i="6"/>
  <c r="V2" i="6"/>
  <c r="U2" i="6"/>
  <c r="T2" i="6"/>
  <c r="S2" i="6"/>
  <c r="R2" i="6"/>
  <c r="S3" i="6" s="1"/>
  <c r="S33" i="6" s="1"/>
  <c r="Q2" i="6"/>
  <c r="R3" i="6" s="1"/>
  <c r="P2" i="6"/>
  <c r="Q3" i="6" s="1"/>
  <c r="O2" i="6"/>
  <c r="P3" i="6" s="1"/>
  <c r="N2" i="6"/>
  <c r="O3" i="6" s="1"/>
  <c r="M2" i="6"/>
  <c r="N3" i="6" s="1"/>
  <c r="N13" i="6" s="1"/>
  <c r="N20" i="6" s="1"/>
  <c r="L2" i="6"/>
  <c r="M3" i="6" s="1"/>
  <c r="K2" i="6"/>
  <c r="J2" i="6"/>
  <c r="K3" i="6" s="1"/>
  <c r="K13" i="6" s="1"/>
  <c r="K20" i="6" s="1"/>
  <c r="I2" i="6"/>
  <c r="J3" i="6" s="1"/>
  <c r="H2" i="6"/>
  <c r="G2" i="6"/>
  <c r="F2" i="6"/>
  <c r="G3" i="6" s="1"/>
  <c r="G33" i="6" s="1"/>
  <c r="E2" i="6"/>
  <c r="F3" i="6" s="1"/>
  <c r="D2" i="6"/>
  <c r="E3" i="6" s="1"/>
  <c r="C2" i="6"/>
  <c r="D3" i="6" s="1"/>
  <c r="H23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A2" i="4"/>
  <c r="A3" i="4" s="1"/>
  <c r="A4" i="4" s="1"/>
  <c r="A5" i="4" s="1"/>
  <c r="A6" i="4" s="1"/>
  <c r="A7" i="4" s="1"/>
  <c r="A8" i="4" s="1"/>
  <c r="A9" i="4" s="1"/>
  <c r="AK11" i="3"/>
  <c r="AH11" i="3"/>
  <c r="Y11" i="3"/>
  <c r="V11" i="3"/>
  <c r="M11" i="3"/>
  <c r="J11" i="3"/>
  <c r="AP11" i="3"/>
  <c r="AI11" i="3"/>
  <c r="AC10" i="3"/>
  <c r="AC11" i="3" s="1"/>
  <c r="AB10" i="3"/>
  <c r="AB11" i="3" s="1"/>
  <c r="AA10" i="3"/>
  <c r="Z10" i="3"/>
  <c r="Y10" i="3"/>
  <c r="X10" i="3"/>
  <c r="W10" i="3"/>
  <c r="W11" i="3" s="1"/>
  <c r="V10" i="3"/>
  <c r="U10" i="3"/>
  <c r="T10" i="3"/>
  <c r="T11" i="3" s="1"/>
  <c r="S10" i="3"/>
  <c r="R10" i="3"/>
  <c r="R11" i="3" s="1"/>
  <c r="Q10" i="3"/>
  <c r="Q11" i="3" s="1"/>
  <c r="P10" i="3"/>
  <c r="P11" i="3" s="1"/>
  <c r="O10" i="3"/>
  <c r="N10" i="3"/>
  <c r="M10" i="3"/>
  <c r="L10" i="3"/>
  <c r="K10" i="3"/>
  <c r="K11" i="3" s="1"/>
  <c r="J10" i="3"/>
  <c r="I10" i="3"/>
  <c r="I11" i="3" s="1"/>
  <c r="H10" i="3"/>
  <c r="H11" i="3" s="1"/>
  <c r="G10" i="3"/>
  <c r="F10" i="3"/>
  <c r="F11" i="3" s="1"/>
  <c r="E10" i="3"/>
  <c r="E11" i="3" s="1"/>
  <c r="D10" i="3"/>
  <c r="D11" i="3" s="1"/>
  <c r="C10" i="3"/>
  <c r="C11" i="3" s="1"/>
  <c r="AK7" i="3"/>
  <c r="AH7" i="3"/>
  <c r="Y7" i="3"/>
  <c r="V7" i="3"/>
  <c r="M7" i="3"/>
  <c r="J7" i="3"/>
  <c r="AP6" i="3"/>
  <c r="AP7" i="3" s="1"/>
  <c r="AO6" i="3"/>
  <c r="AN6" i="3"/>
  <c r="AN7" i="3" s="1"/>
  <c r="AM6" i="3"/>
  <c r="AL6" i="3"/>
  <c r="AK6" i="3"/>
  <c r="AJ6" i="3"/>
  <c r="AI6" i="3"/>
  <c r="AI7" i="3" s="1"/>
  <c r="AH6" i="3"/>
  <c r="AG6" i="3"/>
  <c r="AF6" i="3"/>
  <c r="AE6" i="3"/>
  <c r="AD6" i="3"/>
  <c r="AD7" i="3" s="1"/>
  <c r="AC6" i="3"/>
  <c r="AB6" i="3"/>
  <c r="AB7" i="3" s="1"/>
  <c r="AA6" i="3"/>
  <c r="Z6" i="3"/>
  <c r="Y6" i="3"/>
  <c r="X6" i="3"/>
  <c r="W6" i="3"/>
  <c r="W7" i="3" s="1"/>
  <c r="V6" i="3"/>
  <c r="U6" i="3"/>
  <c r="T6" i="3"/>
  <c r="S6" i="3"/>
  <c r="R6" i="3"/>
  <c r="R7" i="3" s="1"/>
  <c r="Q6" i="3"/>
  <c r="P6" i="3"/>
  <c r="P7" i="3" s="1"/>
  <c r="O6" i="3"/>
  <c r="N6" i="3"/>
  <c r="M6" i="3"/>
  <c r="L6" i="3"/>
  <c r="K6" i="3"/>
  <c r="K7" i="3" s="1"/>
  <c r="J6" i="3"/>
  <c r="I6" i="3"/>
  <c r="H6" i="3"/>
  <c r="G6" i="3"/>
  <c r="G7" i="3" s="1"/>
  <c r="F6" i="3"/>
  <c r="F7" i="3" s="1"/>
  <c r="E6" i="3"/>
  <c r="D6" i="3"/>
  <c r="D7" i="3" s="1"/>
  <c r="C6" i="3"/>
  <c r="C7" i="3" s="1"/>
  <c r="R3" i="3"/>
  <c r="F3" i="3"/>
  <c r="AN4" i="3"/>
  <c r="AK4" i="3"/>
  <c r="AI4" i="3"/>
  <c r="AE11" i="3"/>
  <c r="AC4" i="3"/>
  <c r="AB4" i="3"/>
  <c r="Y4" i="3"/>
  <c r="V4" i="3"/>
  <c r="T4" i="3"/>
  <c r="S11" i="3"/>
  <c r="K4" i="3"/>
  <c r="J4" i="3"/>
  <c r="H4" i="3"/>
  <c r="G11" i="3"/>
  <c r="D3" i="3"/>
  <c r="C2" i="3"/>
  <c r="AP53" i="2"/>
  <c r="J52" i="2"/>
  <c r="AQ22" i="2"/>
  <c r="AQ41" i="2" s="1"/>
  <c r="AQ49" i="2" s="1"/>
  <c r="AE22" i="2"/>
  <c r="AE41" i="2" s="1"/>
  <c r="S22" i="2"/>
  <c r="S41" i="2" s="1"/>
  <c r="G22" i="2"/>
  <c r="G41" i="2" s="1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AQ15" i="2"/>
  <c r="AP15" i="2"/>
  <c r="AO15" i="2"/>
  <c r="AN15" i="2"/>
  <c r="AM15" i="2"/>
  <c r="AL15" i="2"/>
  <c r="AK15" i="2"/>
  <c r="AK53" i="2" s="1"/>
  <c r="AJ15" i="2"/>
  <c r="AI15" i="2"/>
  <c r="AH15" i="2"/>
  <c r="AH52" i="2" s="1"/>
  <c r="AG15" i="2"/>
  <c r="AF15" i="2"/>
  <c r="AE15" i="2"/>
  <c r="AD15" i="2"/>
  <c r="AC15" i="2"/>
  <c r="AB15" i="2"/>
  <c r="AA15" i="2"/>
  <c r="Z15" i="2"/>
  <c r="Y15" i="2"/>
  <c r="Y53" i="2" s="1"/>
  <c r="X15" i="2"/>
  <c r="W15" i="2"/>
  <c r="V15" i="2"/>
  <c r="V52" i="2" s="1"/>
  <c r="U15" i="2"/>
  <c r="U53" i="2" s="1"/>
  <c r="T15" i="2"/>
  <c r="S15" i="2"/>
  <c r="R15" i="2"/>
  <c r="Q15" i="2"/>
  <c r="P15" i="2"/>
  <c r="O15" i="2"/>
  <c r="N15" i="2"/>
  <c r="M15" i="2"/>
  <c r="M53" i="2" s="1"/>
  <c r="L15" i="2"/>
  <c r="K15" i="2"/>
  <c r="J15" i="2"/>
  <c r="I15" i="2"/>
  <c r="I53" i="2" s="1"/>
  <c r="H15" i="2"/>
  <c r="G15" i="2"/>
  <c r="F15" i="2"/>
  <c r="F53" i="2" s="1"/>
  <c r="E15" i="2"/>
  <c r="D15" i="2"/>
  <c r="AQ13" i="2"/>
  <c r="AP13" i="2"/>
  <c r="AP54" i="2" s="1"/>
  <c r="AO13" i="2"/>
  <c r="AO54" i="2" s="1"/>
  <c r="AN13" i="2"/>
  <c r="AN54" i="2" s="1"/>
  <c r="AM13" i="2"/>
  <c r="AM54" i="2" s="1"/>
  <c r="AL13" i="2"/>
  <c r="AL54" i="2" s="1"/>
  <c r="AK13" i="2"/>
  <c r="AK54" i="2" s="1"/>
  <c r="AJ13" i="2"/>
  <c r="AI13" i="2"/>
  <c r="AH13" i="2"/>
  <c r="AG13" i="2"/>
  <c r="AF13" i="2"/>
  <c r="AF54" i="2" s="1"/>
  <c r="AE13" i="2"/>
  <c r="AD13" i="2"/>
  <c r="AD54" i="2" s="1"/>
  <c r="AC13" i="2"/>
  <c r="AC54" i="2" s="1"/>
  <c r="AB13" i="2"/>
  <c r="AB54" i="2" s="1"/>
  <c r="AA13" i="2"/>
  <c r="AA54" i="2" s="1"/>
  <c r="Z13" i="2"/>
  <c r="Z54" i="2" s="1"/>
  <c r="Y13" i="2"/>
  <c r="Y54" i="2" s="1"/>
  <c r="X13" i="2"/>
  <c r="W13" i="2"/>
  <c r="V13" i="2"/>
  <c r="U13" i="2"/>
  <c r="T13" i="2"/>
  <c r="T54" i="2" s="1"/>
  <c r="S13" i="2"/>
  <c r="R13" i="2"/>
  <c r="R54" i="2" s="1"/>
  <c r="Q13" i="2"/>
  <c r="Q54" i="2" s="1"/>
  <c r="P13" i="2"/>
  <c r="P54" i="2" s="1"/>
  <c r="O13" i="2"/>
  <c r="O54" i="2" s="1"/>
  <c r="N13" i="2"/>
  <c r="N54" i="2" s="1"/>
  <c r="M13" i="2"/>
  <c r="M54" i="2" s="1"/>
  <c r="L13" i="2"/>
  <c r="L54" i="2" s="1"/>
  <c r="K13" i="2"/>
  <c r="J13" i="2"/>
  <c r="I13" i="2"/>
  <c r="H13" i="2"/>
  <c r="H54" i="2" s="1"/>
  <c r="G13" i="2"/>
  <c r="F13" i="2"/>
  <c r="F54" i="2" s="1"/>
  <c r="E13" i="2"/>
  <c r="E54" i="2" s="1"/>
  <c r="D13" i="2"/>
  <c r="D54" i="2" s="1"/>
  <c r="AQ12" i="2"/>
  <c r="AQ26" i="2" s="1"/>
  <c r="AP12" i="2"/>
  <c r="AO12" i="2"/>
  <c r="AN12" i="2"/>
  <c r="AM12" i="2"/>
  <c r="AL12" i="2"/>
  <c r="AK12" i="2"/>
  <c r="AJ12" i="2"/>
  <c r="AI12" i="2"/>
  <c r="AH12" i="2"/>
  <c r="AG12" i="2"/>
  <c r="AF12" i="2"/>
  <c r="AE12" i="2"/>
  <c r="AE26" i="2" s="1"/>
  <c r="AD12" i="2"/>
  <c r="AC12" i="2"/>
  <c r="AB12" i="2"/>
  <c r="AA12" i="2"/>
  <c r="Z12" i="2"/>
  <c r="Y12" i="2"/>
  <c r="X12" i="2"/>
  <c r="W12" i="2"/>
  <c r="V12" i="2"/>
  <c r="U12" i="2"/>
  <c r="T12" i="2"/>
  <c r="S12" i="2"/>
  <c r="S26" i="2" s="1"/>
  <c r="R12" i="2"/>
  <c r="Q12" i="2"/>
  <c r="P12" i="2"/>
  <c r="O12" i="2"/>
  <c r="N12" i="2"/>
  <c r="M12" i="2"/>
  <c r="L12" i="2"/>
  <c r="K12" i="2"/>
  <c r="J12" i="2"/>
  <c r="I12" i="2"/>
  <c r="H12" i="2"/>
  <c r="G12" i="2"/>
  <c r="G26" i="2" s="1"/>
  <c r="F12" i="2"/>
  <c r="E12" i="2"/>
  <c r="D12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AQ9" i="2"/>
  <c r="AQ18" i="2" s="1"/>
  <c r="AQ29" i="2" s="1"/>
  <c r="AP9" i="2"/>
  <c r="AP18" i="2" s="1"/>
  <c r="AP29" i="2" s="1"/>
  <c r="AO9" i="2"/>
  <c r="AO18" i="2" s="1"/>
  <c r="AO29" i="2" s="1"/>
  <c r="AN9" i="2"/>
  <c r="AN18" i="2" s="1"/>
  <c r="AM9" i="2"/>
  <c r="AM18" i="2" s="1"/>
  <c r="AL9" i="2"/>
  <c r="AL18" i="2" s="1"/>
  <c r="AK9" i="2"/>
  <c r="AK18" i="2" s="1"/>
  <c r="AK29" i="2" s="1"/>
  <c r="AJ9" i="2"/>
  <c r="AJ18" i="2" s="1"/>
  <c r="AJ29" i="2" s="1"/>
  <c r="AI9" i="2"/>
  <c r="AI18" i="2" s="1"/>
  <c r="AI29" i="2" s="1"/>
  <c r="AH9" i="2"/>
  <c r="AH18" i="2" s="1"/>
  <c r="AH29" i="2" s="1"/>
  <c r="AG9" i="2"/>
  <c r="AG18" i="2" s="1"/>
  <c r="AG29" i="2" s="1"/>
  <c r="AF9" i="2"/>
  <c r="AF18" i="2" s="1"/>
  <c r="AE9" i="2"/>
  <c r="AE18" i="2" s="1"/>
  <c r="AE29" i="2" s="1"/>
  <c r="AD9" i="2"/>
  <c r="AD18" i="2" s="1"/>
  <c r="AD29" i="2" s="1"/>
  <c r="AC9" i="2"/>
  <c r="AC18" i="2" s="1"/>
  <c r="AC29" i="2" s="1"/>
  <c r="AB9" i="2"/>
  <c r="AB18" i="2" s="1"/>
  <c r="AA9" i="2"/>
  <c r="AA18" i="2" s="1"/>
  <c r="Z9" i="2"/>
  <c r="Z18" i="2" s="1"/>
  <c r="Y9" i="2"/>
  <c r="Y18" i="2" s="1"/>
  <c r="Y29" i="2" s="1"/>
  <c r="X9" i="2"/>
  <c r="X18" i="2" s="1"/>
  <c r="X29" i="2" s="1"/>
  <c r="W9" i="2"/>
  <c r="W18" i="2" s="1"/>
  <c r="W29" i="2" s="1"/>
  <c r="V9" i="2"/>
  <c r="V18" i="2" s="1"/>
  <c r="V29" i="2" s="1"/>
  <c r="U9" i="2"/>
  <c r="U18" i="2" s="1"/>
  <c r="U29" i="2" s="1"/>
  <c r="T9" i="2"/>
  <c r="T18" i="2" s="1"/>
  <c r="T29" i="2" s="1"/>
  <c r="S9" i="2"/>
  <c r="S18" i="2" s="1"/>
  <c r="S29" i="2" s="1"/>
  <c r="R9" i="2"/>
  <c r="R18" i="2" s="1"/>
  <c r="R29" i="2" s="1"/>
  <c r="Q9" i="2"/>
  <c r="Q18" i="2" s="1"/>
  <c r="Q29" i="2" s="1"/>
  <c r="P9" i="2"/>
  <c r="P18" i="2" s="1"/>
  <c r="O9" i="2"/>
  <c r="O18" i="2" s="1"/>
  <c r="N9" i="2"/>
  <c r="N18" i="2" s="1"/>
  <c r="M9" i="2"/>
  <c r="M18" i="2" s="1"/>
  <c r="M29" i="2" s="1"/>
  <c r="L9" i="2"/>
  <c r="L18" i="2" s="1"/>
  <c r="L29" i="2" s="1"/>
  <c r="K9" i="2"/>
  <c r="K18" i="2" s="1"/>
  <c r="K29" i="2" s="1"/>
  <c r="J9" i="2"/>
  <c r="J18" i="2" s="1"/>
  <c r="J29" i="2" s="1"/>
  <c r="I9" i="2"/>
  <c r="I18" i="2" s="1"/>
  <c r="I29" i="2" s="1"/>
  <c r="H9" i="2"/>
  <c r="H18" i="2" s="1"/>
  <c r="H29" i="2" s="1"/>
  <c r="G9" i="2"/>
  <c r="G18" i="2" s="1"/>
  <c r="G29" i="2" s="1"/>
  <c r="F9" i="2"/>
  <c r="F18" i="2" s="1"/>
  <c r="F29" i="2" s="1"/>
  <c r="F30" i="2" s="1"/>
  <c r="E9" i="2"/>
  <c r="E18" i="2" s="1"/>
  <c r="E29" i="2" s="1"/>
  <c r="D9" i="2"/>
  <c r="D18" i="2" s="1"/>
  <c r="D29" i="2" s="1"/>
  <c r="G6" i="2"/>
  <c r="G24" i="2" s="1"/>
  <c r="G38" i="2" s="1"/>
  <c r="AQ5" i="2"/>
  <c r="AQ23" i="2" s="1"/>
  <c r="AQ34" i="2" s="1"/>
  <c r="AP5" i="2"/>
  <c r="AP26" i="2" s="1"/>
  <c r="AO5" i="2"/>
  <c r="AO26" i="2" s="1"/>
  <c r="AN5" i="2"/>
  <c r="AN26" i="2" s="1"/>
  <c r="AM5" i="2"/>
  <c r="AM26" i="2" s="1"/>
  <c r="AL5" i="2"/>
  <c r="AL23" i="2" s="1"/>
  <c r="AK5" i="2"/>
  <c r="AK23" i="2" s="1"/>
  <c r="AK34" i="2" s="1"/>
  <c r="AJ5" i="2"/>
  <c r="AJ23" i="2" s="1"/>
  <c r="AJ34" i="2" s="1"/>
  <c r="AI5" i="2"/>
  <c r="AI23" i="2" s="1"/>
  <c r="AI34" i="2" s="1"/>
  <c r="AH5" i="2"/>
  <c r="AH23" i="2" s="1"/>
  <c r="AH34" i="2" s="1"/>
  <c r="AG5" i="2"/>
  <c r="AG23" i="2" s="1"/>
  <c r="AG34" i="2" s="1"/>
  <c r="AF5" i="2"/>
  <c r="AF23" i="2" s="1"/>
  <c r="AF34" i="2" s="1"/>
  <c r="AE5" i="2"/>
  <c r="AE23" i="2" s="1"/>
  <c r="AE34" i="2" s="1"/>
  <c r="AD5" i="2"/>
  <c r="AD26" i="2" s="1"/>
  <c r="AC5" i="2"/>
  <c r="AC26" i="2" s="1"/>
  <c r="AB5" i="2"/>
  <c r="AB26" i="2" s="1"/>
  <c r="AA5" i="2"/>
  <c r="AA26" i="2" s="1"/>
  <c r="Z5" i="2"/>
  <c r="Z23" i="2" s="1"/>
  <c r="Y5" i="2"/>
  <c r="Y23" i="2" s="1"/>
  <c r="Y34" i="2" s="1"/>
  <c r="X5" i="2"/>
  <c r="X23" i="2" s="1"/>
  <c r="X34" i="2" s="1"/>
  <c r="W5" i="2"/>
  <c r="W23" i="2" s="1"/>
  <c r="W34" i="2" s="1"/>
  <c r="V5" i="2"/>
  <c r="V23" i="2" s="1"/>
  <c r="V34" i="2" s="1"/>
  <c r="U5" i="2"/>
  <c r="U23" i="2" s="1"/>
  <c r="U34" i="2" s="1"/>
  <c r="T5" i="2"/>
  <c r="T23" i="2" s="1"/>
  <c r="T34" i="2" s="1"/>
  <c r="S5" i="2"/>
  <c r="S23" i="2" s="1"/>
  <c r="S34" i="2" s="1"/>
  <c r="R5" i="2"/>
  <c r="R26" i="2" s="1"/>
  <c r="Q5" i="2"/>
  <c r="Q26" i="2" s="1"/>
  <c r="T27" i="2" s="1"/>
  <c r="P5" i="2"/>
  <c r="P26" i="2" s="1"/>
  <c r="S27" i="2" s="1"/>
  <c r="O5" i="2"/>
  <c r="O26" i="2" s="1"/>
  <c r="N5" i="2"/>
  <c r="N23" i="2" s="1"/>
  <c r="N34" i="2" s="1"/>
  <c r="M5" i="2"/>
  <c r="M23" i="2" s="1"/>
  <c r="M34" i="2" s="1"/>
  <c r="L5" i="2"/>
  <c r="L23" i="2" s="1"/>
  <c r="L34" i="2" s="1"/>
  <c r="K5" i="2"/>
  <c r="K23" i="2" s="1"/>
  <c r="K34" i="2" s="1"/>
  <c r="J5" i="2"/>
  <c r="J23" i="2" s="1"/>
  <c r="J34" i="2" s="1"/>
  <c r="I5" i="2"/>
  <c r="I23" i="2" s="1"/>
  <c r="I34" i="2" s="1"/>
  <c r="H5" i="2"/>
  <c r="H23" i="2" s="1"/>
  <c r="H34" i="2" s="1"/>
  <c r="G5" i="2"/>
  <c r="G23" i="2" s="1"/>
  <c r="G34" i="2" s="1"/>
  <c r="F5" i="2"/>
  <c r="F26" i="2" s="1"/>
  <c r="E5" i="2"/>
  <c r="E26" i="2" s="1"/>
  <c r="D5" i="2"/>
  <c r="D26" i="2" s="1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AQ3" i="2"/>
  <c r="AQ6" i="2" s="1"/>
  <c r="AQ24" i="2" s="1"/>
  <c r="AQ38" i="2" s="1"/>
  <c r="AQ47" i="2" s="1"/>
  <c r="AP3" i="2"/>
  <c r="AP6" i="2" s="1"/>
  <c r="AP24" i="2" s="1"/>
  <c r="AP38" i="2" s="1"/>
  <c r="AO3" i="2"/>
  <c r="AO6" i="2" s="1"/>
  <c r="AO24" i="2" s="1"/>
  <c r="AO38" i="2" s="1"/>
  <c r="AN3" i="2"/>
  <c r="AN6" i="2" s="1"/>
  <c r="AN24" i="2" s="1"/>
  <c r="AM3" i="2"/>
  <c r="AM6" i="2" s="1"/>
  <c r="AM24" i="2" s="1"/>
  <c r="AL3" i="2"/>
  <c r="AL6" i="2" s="1"/>
  <c r="AL24" i="2" s="1"/>
  <c r="AK3" i="2"/>
  <c r="AK6" i="2" s="1"/>
  <c r="AK24" i="2" s="1"/>
  <c r="AK38" i="2" s="1"/>
  <c r="AJ3" i="2"/>
  <c r="AJ6" i="2" s="1"/>
  <c r="AJ24" i="2" s="1"/>
  <c r="AJ38" i="2" s="1"/>
  <c r="AI3" i="2"/>
  <c r="AI6" i="2" s="1"/>
  <c r="AI24" i="2" s="1"/>
  <c r="AI38" i="2" s="1"/>
  <c r="AH3" i="2"/>
  <c r="AH6" i="2" s="1"/>
  <c r="AH24" i="2" s="1"/>
  <c r="AH38" i="2" s="1"/>
  <c r="AG3" i="2"/>
  <c r="AG6" i="2" s="1"/>
  <c r="AG24" i="2" s="1"/>
  <c r="AG38" i="2" s="1"/>
  <c r="AF3" i="2"/>
  <c r="AF6" i="2" s="1"/>
  <c r="AF24" i="2" s="1"/>
  <c r="AF38" i="2" s="1"/>
  <c r="AE3" i="2"/>
  <c r="AE6" i="2" s="1"/>
  <c r="AE24" i="2" s="1"/>
  <c r="AE38" i="2" s="1"/>
  <c r="AD3" i="2"/>
  <c r="AD6" i="2" s="1"/>
  <c r="AD24" i="2" s="1"/>
  <c r="AD38" i="2" s="1"/>
  <c r="AC3" i="2"/>
  <c r="AC6" i="2" s="1"/>
  <c r="AC24" i="2" s="1"/>
  <c r="AC38" i="2" s="1"/>
  <c r="AB3" i="2"/>
  <c r="AB6" i="2" s="1"/>
  <c r="AB24" i="2" s="1"/>
  <c r="AA3" i="2"/>
  <c r="AA6" i="2" s="1"/>
  <c r="AA24" i="2" s="1"/>
  <c r="Z3" i="2"/>
  <c r="Z6" i="2" s="1"/>
  <c r="Z24" i="2" s="1"/>
  <c r="Y3" i="2"/>
  <c r="Y6" i="2" s="1"/>
  <c r="Y24" i="2" s="1"/>
  <c r="Y38" i="2" s="1"/>
  <c r="X3" i="2"/>
  <c r="X6" i="2" s="1"/>
  <c r="X24" i="2" s="1"/>
  <c r="X38" i="2" s="1"/>
  <c r="W3" i="2"/>
  <c r="W6" i="2" s="1"/>
  <c r="W24" i="2" s="1"/>
  <c r="W38" i="2" s="1"/>
  <c r="V3" i="2"/>
  <c r="V6" i="2" s="1"/>
  <c r="V24" i="2" s="1"/>
  <c r="V38" i="2" s="1"/>
  <c r="U3" i="2"/>
  <c r="U6" i="2" s="1"/>
  <c r="U24" i="2" s="1"/>
  <c r="U38" i="2" s="1"/>
  <c r="T3" i="2"/>
  <c r="T6" i="2" s="1"/>
  <c r="T24" i="2" s="1"/>
  <c r="T38" i="2" s="1"/>
  <c r="S3" i="2"/>
  <c r="S6" i="2" s="1"/>
  <c r="S24" i="2" s="1"/>
  <c r="S38" i="2" s="1"/>
  <c r="R3" i="2"/>
  <c r="R6" i="2" s="1"/>
  <c r="R24" i="2" s="1"/>
  <c r="R38" i="2" s="1"/>
  <c r="Q3" i="2"/>
  <c r="Q6" i="2" s="1"/>
  <c r="Q24" i="2" s="1"/>
  <c r="Q38" i="2" s="1"/>
  <c r="P3" i="2"/>
  <c r="P6" i="2" s="1"/>
  <c r="P24" i="2" s="1"/>
  <c r="O3" i="2"/>
  <c r="O6" i="2" s="1"/>
  <c r="O24" i="2" s="1"/>
  <c r="N3" i="2"/>
  <c r="N6" i="2" s="1"/>
  <c r="N24" i="2" s="1"/>
  <c r="M3" i="2"/>
  <c r="M6" i="2" s="1"/>
  <c r="M24" i="2" s="1"/>
  <c r="M38" i="2" s="1"/>
  <c r="L3" i="2"/>
  <c r="L6" i="2" s="1"/>
  <c r="L24" i="2" s="1"/>
  <c r="L38" i="2" s="1"/>
  <c r="K3" i="2"/>
  <c r="K6" i="2" s="1"/>
  <c r="K24" i="2" s="1"/>
  <c r="K38" i="2" s="1"/>
  <c r="J3" i="2"/>
  <c r="J6" i="2" s="1"/>
  <c r="J24" i="2" s="1"/>
  <c r="J38" i="2" s="1"/>
  <c r="I3" i="2"/>
  <c r="I6" i="2" s="1"/>
  <c r="I24" i="2" s="1"/>
  <c r="I38" i="2" s="1"/>
  <c r="H3" i="2"/>
  <c r="H6" i="2" s="1"/>
  <c r="H24" i="2" s="1"/>
  <c r="H38" i="2" s="1"/>
  <c r="G3" i="2"/>
  <c r="F3" i="2"/>
  <c r="F6" i="2" s="1"/>
  <c r="F24" i="2" s="1"/>
  <c r="F38" i="2" s="1"/>
  <c r="E3" i="2"/>
  <c r="E6" i="2" s="1"/>
  <c r="E24" i="2" s="1"/>
  <c r="E38" i="2" s="1"/>
  <c r="D3" i="2"/>
  <c r="D6" i="2" s="1"/>
  <c r="D24" i="2" s="1"/>
  <c r="D38" i="2" s="1"/>
  <c r="AQ2" i="2"/>
  <c r="AP2" i="2"/>
  <c r="AP22" i="2" s="1"/>
  <c r="AP41" i="2" s="1"/>
  <c r="AO2" i="2"/>
  <c r="AO22" i="2" s="1"/>
  <c r="AO41" i="2" s="1"/>
  <c r="AN2" i="2"/>
  <c r="AN22" i="2" s="1"/>
  <c r="AM2" i="2"/>
  <c r="AM22" i="2" s="1"/>
  <c r="AM41" i="2" s="1"/>
  <c r="AM42" i="2" s="1"/>
  <c r="AL2" i="2"/>
  <c r="AL22" i="2" s="1"/>
  <c r="AL41" i="2" s="1"/>
  <c r="AK2" i="2"/>
  <c r="AK22" i="2" s="1"/>
  <c r="AK41" i="2" s="1"/>
  <c r="AK42" i="2" s="1"/>
  <c r="AJ2" i="2"/>
  <c r="AJ22" i="2" s="1"/>
  <c r="AJ41" i="2" s="1"/>
  <c r="AI2" i="2"/>
  <c r="AI22" i="2" s="1"/>
  <c r="AI41" i="2" s="1"/>
  <c r="AI42" i="2" s="1"/>
  <c r="AH2" i="2"/>
  <c r="AH22" i="2" s="1"/>
  <c r="AH41" i="2" s="1"/>
  <c r="AG2" i="2"/>
  <c r="AG22" i="2" s="1"/>
  <c r="AG41" i="2" s="1"/>
  <c r="AF2" i="2"/>
  <c r="AF22" i="2" s="1"/>
  <c r="AF41" i="2" s="1"/>
  <c r="AE2" i="2"/>
  <c r="AD2" i="2"/>
  <c r="AD22" i="2" s="1"/>
  <c r="AD41" i="2" s="1"/>
  <c r="AC2" i="2"/>
  <c r="AC22" i="2" s="1"/>
  <c r="AC41" i="2" s="1"/>
  <c r="AB2" i="2"/>
  <c r="AB22" i="2" s="1"/>
  <c r="AA2" i="2"/>
  <c r="AA22" i="2" s="1"/>
  <c r="AA41" i="2" s="1"/>
  <c r="AA42" i="2" s="1"/>
  <c r="Z2" i="2"/>
  <c r="Z22" i="2" s="1"/>
  <c r="Z41" i="2" s="1"/>
  <c r="Y2" i="2"/>
  <c r="Y22" i="2" s="1"/>
  <c r="Y41" i="2" s="1"/>
  <c r="Y42" i="2" s="1"/>
  <c r="X2" i="2"/>
  <c r="X22" i="2" s="1"/>
  <c r="X41" i="2" s="1"/>
  <c r="W2" i="2"/>
  <c r="W22" i="2" s="1"/>
  <c r="W41" i="2" s="1"/>
  <c r="W42" i="2" s="1"/>
  <c r="V2" i="2"/>
  <c r="V22" i="2" s="1"/>
  <c r="V41" i="2" s="1"/>
  <c r="U2" i="2"/>
  <c r="U22" i="2" s="1"/>
  <c r="U41" i="2" s="1"/>
  <c r="T2" i="2"/>
  <c r="T22" i="2" s="1"/>
  <c r="T41" i="2" s="1"/>
  <c r="T42" i="2" s="1"/>
  <c r="S2" i="2"/>
  <c r="R2" i="2"/>
  <c r="R22" i="2" s="1"/>
  <c r="R41" i="2" s="1"/>
  <c r="Q2" i="2"/>
  <c r="Q22" i="2" s="1"/>
  <c r="Q41" i="2" s="1"/>
  <c r="P2" i="2"/>
  <c r="P22" i="2" s="1"/>
  <c r="O2" i="2"/>
  <c r="O22" i="2" s="1"/>
  <c r="O41" i="2" s="1"/>
  <c r="O42" i="2" s="1"/>
  <c r="N2" i="2"/>
  <c r="N22" i="2" s="1"/>
  <c r="N41" i="2" s="1"/>
  <c r="M2" i="2"/>
  <c r="M22" i="2" s="1"/>
  <c r="M41" i="2" s="1"/>
  <c r="M42" i="2" s="1"/>
  <c r="L2" i="2"/>
  <c r="L22" i="2" s="1"/>
  <c r="L41" i="2" s="1"/>
  <c r="K2" i="2"/>
  <c r="K22" i="2" s="1"/>
  <c r="K41" i="2" s="1"/>
  <c r="K42" i="2" s="1"/>
  <c r="J2" i="2"/>
  <c r="J22" i="2" s="1"/>
  <c r="J41" i="2" s="1"/>
  <c r="I2" i="2"/>
  <c r="I22" i="2" s="1"/>
  <c r="I41" i="2" s="1"/>
  <c r="H2" i="2"/>
  <c r="H22" i="2" s="1"/>
  <c r="H41" i="2" s="1"/>
  <c r="H42" i="2" s="1"/>
  <c r="G2" i="2"/>
  <c r="F2" i="2"/>
  <c r="F22" i="2" s="1"/>
  <c r="F41" i="2" s="1"/>
  <c r="E2" i="2"/>
  <c r="E22" i="2" s="1"/>
  <c r="E41" i="2" s="1"/>
  <c r="D2" i="2"/>
  <c r="D22" i="2" s="1"/>
  <c r="D41" i="2" s="1"/>
  <c r="D42" i="2" s="1"/>
  <c r="C1" i="1"/>
  <c r="R4" i="3" l="1"/>
  <c r="N11" i="3"/>
  <c r="Z11" i="3"/>
  <c r="O11" i="3"/>
  <c r="AA11" i="3"/>
  <c r="AL11" i="3"/>
  <c r="AH4" i="3"/>
  <c r="N7" i="3"/>
  <c r="Z7" i="3"/>
  <c r="AL7" i="3"/>
  <c r="O7" i="3"/>
  <c r="R8" i="3" s="1"/>
  <c r="AA7" i="3"/>
  <c r="AM7" i="3"/>
  <c r="E7" i="3"/>
  <c r="H8" i="3" s="1"/>
  <c r="Q7" i="3"/>
  <c r="AC7" i="3"/>
  <c r="AO7" i="3"/>
  <c r="AM11" i="3"/>
  <c r="AD11" i="3"/>
  <c r="H7" i="3"/>
  <c r="T7" i="3"/>
  <c r="AF7" i="3"/>
  <c r="AD42" i="2"/>
  <c r="N38" i="2"/>
  <c r="Z38" i="2"/>
  <c r="AL38" i="2"/>
  <c r="O38" i="2"/>
  <c r="AA38" i="2"/>
  <c r="AM38" i="2"/>
  <c r="N29" i="2"/>
  <c r="Q31" i="2" s="1"/>
  <c r="Z29" i="2"/>
  <c r="Z30" i="2" s="1"/>
  <c r="AL29" i="2"/>
  <c r="AL30" i="2" s="1"/>
  <c r="AN41" i="2"/>
  <c r="AN42" i="2" s="1"/>
  <c r="AF42" i="2"/>
  <c r="P38" i="2"/>
  <c r="AB38" i="2"/>
  <c r="AN38" i="2"/>
  <c r="O29" i="2"/>
  <c r="AA29" i="2"/>
  <c r="AA30" i="2" s="1"/>
  <c r="AM29" i="2"/>
  <c r="AM30" i="2" s="1"/>
  <c r="AI30" i="2"/>
  <c r="P29" i="2"/>
  <c r="Q30" i="2" s="1"/>
  <c r="AB29" i="2"/>
  <c r="AB30" i="2" s="1"/>
  <c r="AN29" i="2"/>
  <c r="AN30" i="2" s="1"/>
  <c r="AB41" i="2"/>
  <c r="AB42" i="2" s="1"/>
  <c r="P41" i="2"/>
  <c r="P42" i="2" s="1"/>
  <c r="AF29" i="2"/>
  <c r="AF30" i="2" s="1"/>
  <c r="Z34" i="2"/>
  <c r="AL34" i="2"/>
  <c r="R27" i="2"/>
  <c r="J31" i="2"/>
  <c r="J30" i="2"/>
  <c r="V31" i="2"/>
  <c r="V30" i="2"/>
  <c r="AH30" i="2"/>
  <c r="AE42" i="2"/>
  <c r="E42" i="2"/>
  <c r="Q42" i="2"/>
  <c r="L31" i="2"/>
  <c r="L30" i="2"/>
  <c r="X30" i="2"/>
  <c r="AJ30" i="2"/>
  <c r="F42" i="2"/>
  <c r="R42" i="2"/>
  <c r="AP42" i="2"/>
  <c r="I27" i="2"/>
  <c r="U27" i="2"/>
  <c r="M31" i="2"/>
  <c r="M30" i="2"/>
  <c r="Y30" i="2"/>
  <c r="AK30" i="2"/>
  <c r="AQ46" i="2"/>
  <c r="H35" i="2"/>
  <c r="T35" i="2"/>
  <c r="AF36" i="2"/>
  <c r="AF35" i="2"/>
  <c r="O31" i="2"/>
  <c r="O30" i="2"/>
  <c r="K31" i="2"/>
  <c r="K30" i="2"/>
  <c r="I42" i="2"/>
  <c r="U42" i="2"/>
  <c r="AG42" i="2"/>
  <c r="I35" i="2"/>
  <c r="U35" i="2"/>
  <c r="AG35" i="2"/>
  <c r="P31" i="2"/>
  <c r="P30" i="2"/>
  <c r="W31" i="2"/>
  <c r="W30" i="2"/>
  <c r="J42" i="2"/>
  <c r="V42" i="2"/>
  <c r="AH42" i="2"/>
  <c r="J35" i="2"/>
  <c r="V35" i="2"/>
  <c r="AH35" i="2"/>
  <c r="E30" i="2"/>
  <c r="AC30" i="2"/>
  <c r="AO30" i="2"/>
  <c r="G27" i="2"/>
  <c r="F27" i="2"/>
  <c r="E27" i="2"/>
  <c r="D27" i="2"/>
  <c r="N31" i="2"/>
  <c r="N30" i="2"/>
  <c r="K36" i="2"/>
  <c r="K35" i="2"/>
  <c r="AS45" i="2"/>
  <c r="W35" i="2"/>
  <c r="W36" i="2"/>
  <c r="AI36" i="2"/>
  <c r="AI35" i="2"/>
  <c r="R31" i="2"/>
  <c r="R30" i="2"/>
  <c r="AD30" i="2"/>
  <c r="AP30" i="2"/>
  <c r="L42" i="2"/>
  <c r="X42" i="2"/>
  <c r="AJ42" i="2"/>
  <c r="L36" i="2"/>
  <c r="L35" i="2"/>
  <c r="X35" i="2"/>
  <c r="X36" i="2"/>
  <c r="AJ36" i="2"/>
  <c r="AJ35" i="2"/>
  <c r="G30" i="2"/>
  <c r="G31" i="2"/>
  <c r="S30" i="2"/>
  <c r="S31" i="2"/>
  <c r="AE30" i="2"/>
  <c r="AQ48" i="2"/>
  <c r="AQ30" i="2"/>
  <c r="M36" i="2"/>
  <c r="M35" i="2"/>
  <c r="Y36" i="2"/>
  <c r="Y35" i="2"/>
  <c r="AK36" i="2"/>
  <c r="AK35" i="2"/>
  <c r="H30" i="2"/>
  <c r="H31" i="2"/>
  <c r="T30" i="2"/>
  <c r="T31" i="2"/>
  <c r="G42" i="2"/>
  <c r="N42" i="2"/>
  <c r="Z42" i="2"/>
  <c r="AL42" i="2"/>
  <c r="N36" i="2"/>
  <c r="N35" i="2"/>
  <c r="Z35" i="2"/>
  <c r="Z36" i="2"/>
  <c r="AL36" i="2"/>
  <c r="AL35" i="2"/>
  <c r="I31" i="2"/>
  <c r="I30" i="2"/>
  <c r="U31" i="2"/>
  <c r="U30" i="2"/>
  <c r="AG30" i="2"/>
  <c r="S42" i="2"/>
  <c r="L53" i="2"/>
  <c r="L52" i="2"/>
  <c r="X53" i="2"/>
  <c r="X52" i="2"/>
  <c r="AJ53" i="2"/>
  <c r="AJ52" i="2"/>
  <c r="D23" i="2"/>
  <c r="D34" i="2" s="1"/>
  <c r="H36" i="2" s="1"/>
  <c r="P23" i="2"/>
  <c r="P34" i="2" s="1"/>
  <c r="T36" i="2" s="1"/>
  <c r="AB23" i="2"/>
  <c r="AB34" i="2" s="1"/>
  <c r="AN23" i="2"/>
  <c r="AN34" i="2" s="1"/>
  <c r="H26" i="2"/>
  <c r="H27" i="2" s="1"/>
  <c r="T26" i="2"/>
  <c r="AF26" i="2"/>
  <c r="M52" i="2"/>
  <c r="I3" i="3"/>
  <c r="D8" i="3"/>
  <c r="C8" i="3"/>
  <c r="G30" i="6"/>
  <c r="G27" i="6"/>
  <c r="F13" i="6"/>
  <c r="F20" i="6" s="1"/>
  <c r="F16" i="6"/>
  <c r="F23" i="6" s="1"/>
  <c r="S30" i="6"/>
  <c r="S27" i="6"/>
  <c r="R13" i="6"/>
  <c r="R20" i="6" s="1"/>
  <c r="R16" i="6"/>
  <c r="R23" i="6" s="1"/>
  <c r="AE30" i="6"/>
  <c r="AE27" i="6"/>
  <c r="N14" i="6"/>
  <c r="N21" i="6" s="1"/>
  <c r="O31" i="6"/>
  <c r="O28" i="6"/>
  <c r="AA31" i="6"/>
  <c r="AA28" i="6"/>
  <c r="AL14" i="6"/>
  <c r="AM31" i="6"/>
  <c r="AM28" i="6"/>
  <c r="K14" i="6"/>
  <c r="K21" i="6" s="1"/>
  <c r="E23" i="2"/>
  <c r="E34" i="2" s="1"/>
  <c r="Q23" i="2"/>
  <c r="Q34" i="2" s="1"/>
  <c r="U36" i="2" s="1"/>
  <c r="AC23" i="2"/>
  <c r="AC34" i="2" s="1"/>
  <c r="AG36" i="2" s="1"/>
  <c r="AO23" i="2"/>
  <c r="AO34" i="2" s="1"/>
  <c r="I26" i="2"/>
  <c r="U26" i="2"/>
  <c r="AG26" i="2"/>
  <c r="U11" i="3"/>
  <c r="AM3" i="3"/>
  <c r="AH3" i="3"/>
  <c r="V3" i="3"/>
  <c r="K33" i="6"/>
  <c r="H30" i="6"/>
  <c r="T30" i="6"/>
  <c r="AF30" i="6"/>
  <c r="O14" i="6"/>
  <c r="O21" i="6" s="1"/>
  <c r="N17" i="6"/>
  <c r="N24" i="6" s="1"/>
  <c r="V31" i="6"/>
  <c r="W53" i="2"/>
  <c r="W52" i="2"/>
  <c r="AA23" i="2"/>
  <c r="AA34" i="2" s="1"/>
  <c r="N53" i="2"/>
  <c r="N52" i="2"/>
  <c r="Z53" i="2"/>
  <c r="Z52" i="2"/>
  <c r="AL53" i="2"/>
  <c r="AL52" i="2"/>
  <c r="F23" i="2"/>
  <c r="F34" i="2" s="1"/>
  <c r="F35" i="2" s="1"/>
  <c r="R23" i="2"/>
  <c r="R34" i="2" s="1"/>
  <c r="S35" i="2" s="1"/>
  <c r="AD23" i="2"/>
  <c r="AD34" i="2" s="1"/>
  <c r="AH36" i="2" s="1"/>
  <c r="AP23" i="2"/>
  <c r="AP34" i="2" s="1"/>
  <c r="AQ35" i="2" s="1"/>
  <c r="J26" i="2"/>
  <c r="V26" i="2"/>
  <c r="AH26" i="2"/>
  <c r="Y52" i="2"/>
  <c r="L11" i="3"/>
  <c r="X11" i="3"/>
  <c r="AJ11" i="3"/>
  <c r="X33" i="6"/>
  <c r="AJ33" i="6"/>
  <c r="O23" i="2"/>
  <c r="O34" i="2" s="1"/>
  <c r="S36" i="2" s="1"/>
  <c r="G54" i="2"/>
  <c r="S54" i="2"/>
  <c r="AE54" i="2"/>
  <c r="AQ54" i="2"/>
  <c r="O53" i="2"/>
  <c r="O52" i="2"/>
  <c r="AA53" i="2"/>
  <c r="AA52" i="2"/>
  <c r="AM53" i="2"/>
  <c r="AM52" i="2"/>
  <c r="K26" i="2"/>
  <c r="W26" i="2"/>
  <c r="AI26" i="2"/>
  <c r="AD3" i="3"/>
  <c r="Y33" i="6"/>
  <c r="AK33" i="6"/>
  <c r="I13" i="6"/>
  <c r="I20" i="6" s="1"/>
  <c r="I16" i="6"/>
  <c r="I23" i="6" s="1"/>
  <c r="U13" i="6"/>
  <c r="U20" i="6" s="1"/>
  <c r="U16" i="6"/>
  <c r="U23" i="6" s="1"/>
  <c r="AG13" i="6"/>
  <c r="AG20" i="6" s="1"/>
  <c r="Q14" i="6"/>
  <c r="Q21" i="6" s="1"/>
  <c r="R31" i="6"/>
  <c r="R28" i="6"/>
  <c r="AD31" i="6"/>
  <c r="AD28" i="6"/>
  <c r="AO14" i="6"/>
  <c r="AP31" i="6"/>
  <c r="AP28" i="6"/>
  <c r="Z17" i="6"/>
  <c r="Z24" i="6" s="1"/>
  <c r="K53" i="2"/>
  <c r="K52" i="2"/>
  <c r="D53" i="2"/>
  <c r="D52" i="2"/>
  <c r="P53" i="2"/>
  <c r="P52" i="2"/>
  <c r="AB53" i="2"/>
  <c r="AB52" i="2"/>
  <c r="AN53" i="2"/>
  <c r="AN52" i="2"/>
  <c r="L26" i="2"/>
  <c r="X26" i="2"/>
  <c r="AJ26" i="2"/>
  <c r="AK52" i="2"/>
  <c r="L4" i="3"/>
  <c r="L3" i="3"/>
  <c r="X4" i="3"/>
  <c r="X3" i="3"/>
  <c r="AJ4" i="3"/>
  <c r="AJ3" i="3"/>
  <c r="AG3" i="3"/>
  <c r="N33" i="6"/>
  <c r="J13" i="6"/>
  <c r="J20" i="6" s="1"/>
  <c r="F14" i="6"/>
  <c r="F21" i="6" s="1"/>
  <c r="R14" i="6"/>
  <c r="R21" i="6" s="1"/>
  <c r="AD14" i="6"/>
  <c r="AP14" i="6"/>
  <c r="AC17" i="6"/>
  <c r="AC24" i="6" s="1"/>
  <c r="AI53" i="2"/>
  <c r="AI52" i="2"/>
  <c r="I54" i="2"/>
  <c r="U54" i="2"/>
  <c r="AG54" i="2"/>
  <c r="E53" i="2"/>
  <c r="E52" i="2"/>
  <c r="Q53" i="2"/>
  <c r="Q52" i="2"/>
  <c r="AC53" i="2"/>
  <c r="AC52" i="2"/>
  <c r="AO53" i="2"/>
  <c r="AO52" i="2"/>
  <c r="M26" i="2"/>
  <c r="Y26" i="2"/>
  <c r="AK26" i="2"/>
  <c r="M4" i="3"/>
  <c r="AP3" i="3"/>
  <c r="O33" i="6"/>
  <c r="AA33" i="6"/>
  <c r="AM33" i="6"/>
  <c r="K16" i="6"/>
  <c r="K23" i="6" s="1"/>
  <c r="G14" i="6"/>
  <c r="G21" i="6" s="1"/>
  <c r="S14" i="6"/>
  <c r="S21" i="6" s="1"/>
  <c r="AL17" i="6"/>
  <c r="AL24" i="6" s="1"/>
  <c r="J27" i="6"/>
  <c r="J30" i="6"/>
  <c r="AM23" i="2"/>
  <c r="AM34" i="2" s="1"/>
  <c r="AQ36" i="2" s="1"/>
  <c r="J54" i="2"/>
  <c r="V54" i="2"/>
  <c r="AH54" i="2"/>
  <c r="F52" i="2"/>
  <c r="R52" i="2"/>
  <c r="AD52" i="2"/>
  <c r="AP52" i="2"/>
  <c r="N26" i="2"/>
  <c r="Q27" i="2" s="1"/>
  <c r="Z26" i="2"/>
  <c r="AL26" i="2"/>
  <c r="I7" i="3"/>
  <c r="J8" i="3" s="1"/>
  <c r="U7" i="3"/>
  <c r="AG7" i="3"/>
  <c r="D33" i="6"/>
  <c r="P33" i="6"/>
  <c r="L16" i="6"/>
  <c r="L23" i="6" s="1"/>
  <c r="AO17" i="6"/>
  <c r="AO24" i="6" s="1"/>
  <c r="K54" i="2"/>
  <c r="W54" i="2"/>
  <c r="AI54" i="2"/>
  <c r="G52" i="2"/>
  <c r="G53" i="2"/>
  <c r="S52" i="2"/>
  <c r="S53" i="2"/>
  <c r="AE52" i="2"/>
  <c r="AE53" i="2"/>
  <c r="AQ52" i="2"/>
  <c r="AQ53" i="2"/>
  <c r="R53" i="2"/>
  <c r="E33" i="6"/>
  <c r="Q33" i="6"/>
  <c r="AC33" i="6"/>
  <c r="AO33" i="6"/>
  <c r="AK16" i="6"/>
  <c r="AK23" i="6" s="1"/>
  <c r="I17" i="6"/>
  <c r="I24" i="6" s="1"/>
  <c r="U17" i="6"/>
  <c r="U24" i="6" s="1"/>
  <c r="V27" i="6"/>
  <c r="V30" i="6"/>
  <c r="X54" i="2"/>
  <c r="AJ54" i="2"/>
  <c r="H52" i="2"/>
  <c r="H53" i="2"/>
  <c r="T52" i="2"/>
  <c r="T53" i="2"/>
  <c r="AF52" i="2"/>
  <c r="AF53" i="2"/>
  <c r="P4" i="3"/>
  <c r="U4" i="3"/>
  <c r="H6" i="6"/>
  <c r="H16" i="6" s="1"/>
  <c r="H23" i="6" s="1"/>
  <c r="T6" i="6"/>
  <c r="T16" i="6" s="1"/>
  <c r="T23" i="6" s="1"/>
  <c r="E6" i="6"/>
  <c r="E16" i="6" s="1"/>
  <c r="E23" i="6" s="1"/>
  <c r="F33" i="6"/>
  <c r="R33" i="6"/>
  <c r="AD33" i="6"/>
  <c r="AP33" i="6"/>
  <c r="N16" i="6"/>
  <c r="N23" i="6" s="1"/>
  <c r="Z16" i="6"/>
  <c r="Z23" i="6" s="1"/>
  <c r="AL16" i="6"/>
  <c r="AL23" i="6" s="1"/>
  <c r="J17" i="6"/>
  <c r="J24" i="6" s="1"/>
  <c r="I52" i="2"/>
  <c r="U52" i="2"/>
  <c r="AG52" i="2"/>
  <c r="AQ42" i="2"/>
  <c r="AD53" i="2"/>
  <c r="L7" i="3"/>
  <c r="X7" i="3"/>
  <c r="AJ7" i="3"/>
  <c r="O16" i="6"/>
  <c r="O23" i="6" s="1"/>
  <c r="K17" i="6"/>
  <c r="K24" i="6" s="1"/>
  <c r="AH27" i="6"/>
  <c r="AH30" i="6"/>
  <c r="J53" i="2"/>
  <c r="V53" i="2"/>
  <c r="AH53" i="2"/>
  <c r="AG53" i="2"/>
  <c r="AG4" i="3"/>
  <c r="AF3" i="6"/>
  <c r="AF14" i="6" s="1"/>
  <c r="L3" i="6"/>
  <c r="L33" i="6" s="1"/>
  <c r="AJ6" i="6"/>
  <c r="AJ16" i="6" s="1"/>
  <c r="AJ23" i="6" s="1"/>
  <c r="D16" i="6"/>
  <c r="D23" i="6" s="1"/>
  <c r="P16" i="6"/>
  <c r="P23" i="6" s="1"/>
  <c r="AB16" i="6"/>
  <c r="AB23" i="6" s="1"/>
  <c r="AN16" i="6"/>
  <c r="AN23" i="6" s="1"/>
  <c r="L17" i="6"/>
  <c r="L24" i="6" s="1"/>
  <c r="G3" i="3"/>
  <c r="S3" i="3"/>
  <c r="AE3" i="3"/>
  <c r="G4" i="3"/>
  <c r="S4" i="3"/>
  <c r="AE4" i="3"/>
  <c r="V3" i="6"/>
  <c r="V13" i="6" s="1"/>
  <c r="V20" i="6" s="1"/>
  <c r="AH3" i="6"/>
  <c r="AH33" i="6" s="1"/>
  <c r="AA6" i="6"/>
  <c r="AA17" i="6" s="1"/>
  <c r="AA24" i="6" s="1"/>
  <c r="AM6" i="6"/>
  <c r="AM17" i="6" s="1"/>
  <c r="AM24" i="6" s="1"/>
  <c r="L13" i="6"/>
  <c r="L20" i="6" s="1"/>
  <c r="X13" i="6"/>
  <c r="X20" i="6" s="1"/>
  <c r="AJ13" i="6"/>
  <c r="AJ20" i="6" s="1"/>
  <c r="I14" i="6"/>
  <c r="I21" i="6" s="1"/>
  <c r="U14" i="6"/>
  <c r="U21" i="6" s="1"/>
  <c r="AG14" i="6"/>
  <c r="O17" i="6"/>
  <c r="O24" i="6" s="1"/>
  <c r="K27" i="6"/>
  <c r="W27" i="6"/>
  <c r="AI27" i="6"/>
  <c r="K28" i="6"/>
  <c r="W28" i="6"/>
  <c r="AI28" i="6"/>
  <c r="K30" i="6"/>
  <c r="W30" i="6"/>
  <c r="AI30" i="6"/>
  <c r="K31" i="6"/>
  <c r="W31" i="6"/>
  <c r="AI31" i="6"/>
  <c r="H3" i="3"/>
  <c r="T3" i="3"/>
  <c r="AF3" i="3"/>
  <c r="W3" i="6"/>
  <c r="AI3" i="6"/>
  <c r="AB6" i="6"/>
  <c r="AN6" i="6"/>
  <c r="AN17" i="6" s="1"/>
  <c r="AN24" i="6" s="1"/>
  <c r="M13" i="6"/>
  <c r="M20" i="6" s="1"/>
  <c r="AK13" i="6"/>
  <c r="AK20" i="6" s="1"/>
  <c r="J14" i="6"/>
  <c r="J21" i="6" s="1"/>
  <c r="V14" i="6"/>
  <c r="V21" i="6" s="1"/>
  <c r="AH14" i="6"/>
  <c r="G16" i="6"/>
  <c r="G23" i="6" s="1"/>
  <c r="S16" i="6"/>
  <c r="S23" i="6" s="1"/>
  <c r="AE16" i="6"/>
  <c r="AE23" i="6" s="1"/>
  <c r="D17" i="6"/>
  <c r="D24" i="6" s="1"/>
  <c r="P17" i="6"/>
  <c r="P24" i="6" s="1"/>
  <c r="AB17" i="6"/>
  <c r="AB24" i="6" s="1"/>
  <c r="L27" i="6"/>
  <c r="X27" i="6"/>
  <c r="AJ27" i="6"/>
  <c r="L28" i="6"/>
  <c r="X28" i="6"/>
  <c r="AJ28" i="6"/>
  <c r="L30" i="6"/>
  <c r="X30" i="6"/>
  <c r="AJ30" i="6"/>
  <c r="L31" i="6"/>
  <c r="X31" i="6"/>
  <c r="AJ31" i="6"/>
  <c r="J3" i="3"/>
  <c r="Y3" i="6"/>
  <c r="Y13" i="6" s="1"/>
  <c r="Y20" i="6" s="1"/>
  <c r="AK3" i="6"/>
  <c r="AD6" i="6"/>
  <c r="AD16" i="6" s="1"/>
  <c r="AD23" i="6" s="1"/>
  <c r="AP6" i="6"/>
  <c r="AP16" i="6" s="1"/>
  <c r="AP23" i="6" s="1"/>
  <c r="O13" i="6"/>
  <c r="O20" i="6" s="1"/>
  <c r="AA13" i="6"/>
  <c r="AA20" i="6" s="1"/>
  <c r="L14" i="6"/>
  <c r="L21" i="6" s="1"/>
  <c r="X14" i="6"/>
  <c r="AJ14" i="6"/>
  <c r="F17" i="6"/>
  <c r="F24" i="6" s="1"/>
  <c r="R17" i="6"/>
  <c r="R24" i="6" s="1"/>
  <c r="N27" i="6"/>
  <c r="Z27" i="6"/>
  <c r="AL27" i="6"/>
  <c r="N28" i="6"/>
  <c r="Z28" i="6"/>
  <c r="AL28" i="6"/>
  <c r="N30" i="6"/>
  <c r="Z30" i="6"/>
  <c r="AL30" i="6"/>
  <c r="N31" i="6"/>
  <c r="Z31" i="6"/>
  <c r="AL31" i="6"/>
  <c r="K3" i="3"/>
  <c r="W3" i="3"/>
  <c r="AI3" i="3"/>
  <c r="Z3" i="6"/>
  <c r="Z13" i="6" s="1"/>
  <c r="Z20" i="6" s="1"/>
  <c r="AL3" i="6"/>
  <c r="AL13" i="6" s="1"/>
  <c r="AL20" i="6" s="1"/>
  <c r="AE6" i="6"/>
  <c r="D13" i="6"/>
  <c r="D20" i="6" s="1"/>
  <c r="P13" i="6"/>
  <c r="P20" i="6" s="1"/>
  <c r="M14" i="6"/>
  <c r="M21" i="6" s="1"/>
  <c r="AK14" i="6"/>
  <c r="J16" i="6"/>
  <c r="J23" i="6" s="1"/>
  <c r="AH16" i="6"/>
  <c r="AH23" i="6" s="1"/>
  <c r="G17" i="6"/>
  <c r="G24" i="6" s="1"/>
  <c r="S17" i="6"/>
  <c r="S24" i="6" s="1"/>
  <c r="AE17" i="6"/>
  <c r="AE24" i="6" s="1"/>
  <c r="O27" i="6"/>
  <c r="AA27" i="6"/>
  <c r="AM27" i="6"/>
  <c r="O30" i="6"/>
  <c r="AA30" i="6"/>
  <c r="AM30" i="6"/>
  <c r="AA3" i="6"/>
  <c r="AA14" i="6" s="1"/>
  <c r="AM3" i="6"/>
  <c r="AM13" i="6" s="1"/>
  <c r="AM20" i="6" s="1"/>
  <c r="AF6" i="6"/>
  <c r="AF16" i="6" s="1"/>
  <c r="AF23" i="6" s="1"/>
  <c r="Q13" i="6"/>
  <c r="Q20" i="6" s="1"/>
  <c r="AO13" i="6"/>
  <c r="AO20" i="6" s="1"/>
  <c r="H17" i="6"/>
  <c r="H24" i="6" s="1"/>
  <c r="T17" i="6"/>
  <c r="T24" i="6" s="1"/>
  <c r="P27" i="6"/>
  <c r="AB27" i="6"/>
  <c r="AN27" i="6"/>
  <c r="P28" i="6"/>
  <c r="AB28" i="6"/>
  <c r="AN28" i="6"/>
  <c r="P30" i="6"/>
  <c r="AB30" i="6"/>
  <c r="AN30" i="6"/>
  <c r="P31" i="6"/>
  <c r="AB31" i="6"/>
  <c r="AN31" i="6"/>
  <c r="M3" i="3"/>
  <c r="Y3" i="3"/>
  <c r="AK3" i="3"/>
  <c r="AB3" i="6"/>
  <c r="AB14" i="6" s="1"/>
  <c r="AN3" i="6"/>
  <c r="AN14" i="6" s="1"/>
  <c r="AG6" i="6"/>
  <c r="AG16" i="6" s="1"/>
  <c r="AG23" i="6" s="1"/>
  <c r="Q27" i="6"/>
  <c r="AC27" i="6"/>
  <c r="AO27" i="6"/>
  <c r="Q28" i="6"/>
  <c r="AC28" i="6"/>
  <c r="AO28" i="6"/>
  <c r="Q30" i="6"/>
  <c r="AC30" i="6"/>
  <c r="AO30" i="6"/>
  <c r="Q31" i="6"/>
  <c r="AC31" i="6"/>
  <c r="AO31" i="6"/>
  <c r="N3" i="3"/>
  <c r="Z3" i="3"/>
  <c r="AL3" i="3"/>
  <c r="AC3" i="6"/>
  <c r="AC14" i="6" s="1"/>
  <c r="AO3" i="6"/>
  <c r="V6" i="6"/>
  <c r="V16" i="6" s="1"/>
  <c r="V23" i="6" s="1"/>
  <c r="AH6" i="6"/>
  <c r="AH17" i="6" s="1"/>
  <c r="AH24" i="6" s="1"/>
  <c r="G13" i="6"/>
  <c r="G20" i="6" s="1"/>
  <c r="S13" i="6"/>
  <c r="S20" i="6" s="1"/>
  <c r="R27" i="6"/>
  <c r="AD27" i="6"/>
  <c r="AP27" i="6"/>
  <c r="O3" i="3"/>
  <c r="AA3" i="3"/>
  <c r="S7" i="3"/>
  <c r="AE7" i="3"/>
  <c r="AD3" i="6"/>
  <c r="AD13" i="6" s="1"/>
  <c r="AD20" i="6" s="1"/>
  <c r="AP3" i="6"/>
  <c r="AP13" i="6" s="1"/>
  <c r="AP20" i="6" s="1"/>
  <c r="W6" i="6"/>
  <c r="W17" i="6" s="1"/>
  <c r="W24" i="6" s="1"/>
  <c r="AI6" i="6"/>
  <c r="AI16" i="6" s="1"/>
  <c r="AI23" i="6" s="1"/>
  <c r="H13" i="6"/>
  <c r="H20" i="6" s="1"/>
  <c r="T13" i="6"/>
  <c r="T20" i="6" s="1"/>
  <c r="AF13" i="6"/>
  <c r="AF20" i="6" s="1"/>
  <c r="G28" i="6"/>
  <c r="S28" i="6"/>
  <c r="AE28" i="6"/>
  <c r="G31" i="6"/>
  <c r="S31" i="6"/>
  <c r="AE31" i="6"/>
  <c r="P3" i="3"/>
  <c r="AB3" i="3"/>
  <c r="AN3" i="3"/>
  <c r="AE3" i="6"/>
  <c r="AE33" i="6" s="1"/>
  <c r="X6" i="6"/>
  <c r="X16" i="6" s="1"/>
  <c r="X23" i="6" s="1"/>
  <c r="H27" i="6"/>
  <c r="T27" i="6"/>
  <c r="AF27" i="6"/>
  <c r="H28" i="6"/>
  <c r="T28" i="6"/>
  <c r="AF28" i="6"/>
  <c r="H31" i="6"/>
  <c r="T31" i="6"/>
  <c r="AF31" i="6"/>
  <c r="Q3" i="3"/>
  <c r="AC3" i="3"/>
  <c r="AO3" i="3"/>
  <c r="I27" i="6"/>
  <c r="U27" i="6"/>
  <c r="AG27" i="6"/>
  <c r="I28" i="6"/>
  <c r="U28" i="6"/>
  <c r="AG28" i="6"/>
  <c r="Q8" i="3" l="1"/>
  <c r="E8" i="3"/>
  <c r="F8" i="3"/>
  <c r="O8" i="3"/>
  <c r="G8" i="3"/>
  <c r="P8" i="3"/>
  <c r="V36" i="2"/>
  <c r="AO42" i="2"/>
  <c r="AE35" i="2"/>
  <c r="AC42" i="2"/>
  <c r="E35" i="2"/>
  <c r="AO8" i="3"/>
  <c r="AC8" i="3"/>
  <c r="AN8" i="3"/>
  <c r="AB8" i="3"/>
  <c r="AM8" i="3"/>
  <c r="AA8" i="3"/>
  <c r="AL8" i="3"/>
  <c r="Z8" i="3"/>
  <c r="AK8" i="3"/>
  <c r="Y8" i="3"/>
  <c r="AJ8" i="3"/>
  <c r="X8" i="3"/>
  <c r="AI8" i="3"/>
  <c r="W8" i="3"/>
  <c r="AH8" i="3"/>
  <c r="V8" i="3"/>
  <c r="AF8" i="3"/>
  <c r="AE8" i="3"/>
  <c r="AP8" i="3"/>
  <c r="AG8" i="3"/>
  <c r="AD8" i="3"/>
  <c r="N8" i="3"/>
  <c r="AA16" i="6"/>
  <c r="AA23" i="6" s="1"/>
  <c r="AG17" i="6"/>
  <c r="AG24" i="6" s="1"/>
  <c r="AN33" i="6"/>
  <c r="AC13" i="6"/>
  <c r="AC20" i="6" s="1"/>
  <c r="AI13" i="6"/>
  <c r="AI20" i="6" s="1"/>
  <c r="AI14" i="6"/>
  <c r="AJ17" i="6"/>
  <c r="AJ24" i="6" s="1"/>
  <c r="AB33" i="6"/>
  <c r="W16" i="6"/>
  <c r="W23" i="6" s="1"/>
  <c r="M8" i="3"/>
  <c r="O27" i="2"/>
  <c r="AM14" i="6"/>
  <c r="AM16" i="6"/>
  <c r="AM23" i="6" s="1"/>
  <c r="V17" i="6"/>
  <c r="V24" i="6" s="1"/>
  <c r="W13" i="6"/>
  <c r="W20" i="6" s="1"/>
  <c r="W14" i="6"/>
  <c r="X17" i="6"/>
  <c r="X24" i="6" s="1"/>
  <c r="V33" i="6"/>
  <c r="L8" i="3"/>
  <c r="I8" i="3"/>
  <c r="L27" i="2"/>
  <c r="Z14" i="6"/>
  <c r="J36" i="2"/>
  <c r="U8" i="3"/>
  <c r="AE13" i="6"/>
  <c r="AE20" i="6" s="1"/>
  <c r="Y14" i="6"/>
  <c r="AP17" i="6"/>
  <c r="AP24" i="6" s="1"/>
  <c r="K8" i="3"/>
  <c r="AH13" i="6"/>
  <c r="AH20" i="6" s="1"/>
  <c r="AI33" i="6"/>
  <c r="AO36" i="2"/>
  <c r="AO35" i="2"/>
  <c r="K27" i="2"/>
  <c r="T8" i="3"/>
  <c r="AD17" i="6"/>
  <c r="AD24" i="6" s="1"/>
  <c r="O36" i="2"/>
  <c r="O35" i="2"/>
  <c r="AA35" i="2"/>
  <c r="AA36" i="2"/>
  <c r="W33" i="6"/>
  <c r="AC35" i="2"/>
  <c r="AC36" i="2"/>
  <c r="AN36" i="2"/>
  <c r="AN35" i="2"/>
  <c r="J27" i="2"/>
  <c r="AF17" i="6"/>
  <c r="AF24" i="6" s="1"/>
  <c r="AN13" i="6"/>
  <c r="AN20" i="6" s="1"/>
  <c r="AE14" i="6"/>
  <c r="N27" i="2"/>
  <c r="M27" i="2"/>
  <c r="Q36" i="2"/>
  <c r="Q35" i="2"/>
  <c r="AB35" i="2"/>
  <c r="AB36" i="2"/>
  <c r="AM36" i="2"/>
  <c r="AM35" i="2"/>
  <c r="AF33" i="6"/>
  <c r="AI17" i="6"/>
  <c r="AI24" i="6" s="1"/>
  <c r="AB13" i="6"/>
  <c r="AB20" i="6" s="1"/>
  <c r="AL33" i="6"/>
  <c r="AP36" i="2"/>
  <c r="AP35" i="2"/>
  <c r="S8" i="3"/>
  <c r="P36" i="2"/>
  <c r="P35" i="2"/>
  <c r="I36" i="2"/>
  <c r="Z33" i="6"/>
  <c r="AD36" i="2"/>
  <c r="AD35" i="2"/>
  <c r="E17" i="6"/>
  <c r="E24" i="6" s="1"/>
  <c r="G35" i="2"/>
  <c r="P27" i="2"/>
  <c r="R36" i="2"/>
  <c r="R35" i="2"/>
  <c r="AE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Xander</author>
  </authors>
  <commentList>
    <comment ref="R2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Xander:
Net income / eps = shares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Xander</author>
  </authors>
  <commentList>
    <comment ref="K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Xander:
What is this pulling from? Can't find on RO tab</t>
        </r>
      </text>
    </comment>
  </commentList>
</comments>
</file>

<file path=xl/sharedStrings.xml><?xml version="1.0" encoding="utf-8"?>
<sst xmlns="http://schemas.openxmlformats.org/spreadsheetml/2006/main" count="584" uniqueCount="317">
  <si>
    <t>Company</t>
  </si>
  <si>
    <t>Industry</t>
  </si>
  <si>
    <t>Ticker</t>
  </si>
  <si>
    <t>Country</t>
  </si>
  <si>
    <t>Currency</t>
  </si>
  <si>
    <t>Price (input)</t>
  </si>
  <si>
    <t>Market Cap (mm USD)</t>
  </si>
  <si>
    <t>Shares Outstanding</t>
  </si>
  <si>
    <t>P/NCAV</t>
  </si>
  <si>
    <t>Date Founded</t>
  </si>
  <si>
    <t>Date Listed</t>
  </si>
  <si>
    <t>Website</t>
  </si>
  <si>
    <t>2015-06-30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</si>
  <si>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</si>
  <si>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</si>
  <si>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</si>
  <si>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</si>
  <si>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</si>
  <si>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</si>
  <si>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</si>
  <si>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</si>
  <si>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</si>
  <si>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</si>
  <si>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</si>
  <si>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</si>
  <si>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</si>
  <si>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</si>
  <si>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</si>
  <si>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</si>
  <si>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</si>
  <si>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</si>
  <si>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</si>
  <si>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</si>
  <si>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</si>
  <si>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</si>
  <si>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</si>
  <si>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</si>
  <si>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</si>
  <si>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</si>
  <si>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</si>
  <si>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</si>
  <si>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</si>
  <si>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</si>
  <si>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</si>
  <si>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</si>
  <si>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</si>
  <si>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</si>
  <si>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</si>
  <si>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</si>
  <si>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</si>
  <si>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</si>
  <si>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</si>
  <si>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Cash &amp; other liquid securities</t>
  </si>
  <si>
    <t>AR</t>
  </si>
  <si>
    <t>Inventory</t>
  </si>
  <si>
    <t>Current Assets</t>
  </si>
  <si>
    <t>Discounted CA</t>
  </si>
  <si>
    <t>Total Assets</t>
  </si>
  <si>
    <t>Intangible Assets</t>
  </si>
  <si>
    <t>Current Liabilities</t>
  </si>
  <si>
    <t>Total Liabilities</t>
  </si>
  <si>
    <t>Debt</t>
  </si>
  <si>
    <t>Equity</t>
  </si>
  <si>
    <t>Net Tangible Assets</t>
  </si>
  <si>
    <t>Net Cash</t>
  </si>
  <si>
    <t>Net Current Assets</t>
  </si>
  <si>
    <t>Discounted Net Current Assets</t>
  </si>
  <si>
    <t>Current Ratio</t>
  </si>
  <si>
    <t>4 period ma</t>
  </si>
  <si>
    <t>Net Tangible Assets / Share</t>
  </si>
  <si>
    <t>% QoQ</t>
  </si>
  <si>
    <t>% YoY</t>
  </si>
  <si>
    <t>NCAV / Share</t>
  </si>
  <si>
    <t>Discounted NCAV / Share</t>
  </si>
  <si>
    <t>Net Cash / Share</t>
  </si>
  <si>
    <t>Price</t>
  </si>
  <si>
    <t>Buy below:</t>
  </si>
  <si>
    <t>P / NCAV</t>
  </si>
  <si>
    <t>P / Discounted NCAV</t>
  </si>
  <si>
    <t>P / NTA</t>
  </si>
  <si>
    <t>P / Net Cash</t>
  </si>
  <si>
    <t>D / Assets</t>
  </si>
  <si>
    <t>D / E</t>
  </si>
  <si>
    <t>Total Liabilities / Equity</t>
  </si>
  <si>
    <t>Sales</t>
  </si>
  <si>
    <t>Gross Income</t>
  </si>
  <si>
    <t>% Margin</t>
  </si>
  <si>
    <t>% Margin 4 per MA</t>
  </si>
  <si>
    <t>Net Income</t>
  </si>
  <si>
    <t>Positive earnings</t>
  </si>
  <si>
    <t>AUTO: NI = -91 (negative/zero)</t>
  </si>
  <si>
    <t>Positive CF</t>
  </si>
  <si>
    <t>MANUAL: OCF data not available in standard export</t>
  </si>
  <si>
    <t>Increasing ROA</t>
  </si>
  <si>
    <t>AUTO: ROA: 0.54% -&gt; 1.92% (↑)</t>
  </si>
  <si>
    <t>Increasing CFO</t>
  </si>
  <si>
    <t>MANUAL: OCF data not available for accruals check</t>
  </si>
  <si>
    <t>Decreasing long term debt as a proportion of total assets</t>
  </si>
  <si>
    <t>AUTO: D/A: 1.56% -&gt; 1.39% (↓)</t>
  </si>
  <si>
    <t>increasing current ratio</t>
  </si>
  <si>
    <t>AUTO: CR: 7.11x -&gt; 6.55x (↓)</t>
  </si>
  <si>
    <t>decreasing or stable numbers of standing shares</t>
  </si>
  <si>
    <t>AUTO: Shares: 7 -&gt; 7 (stable/↓)</t>
  </si>
  <si>
    <t>increasing assets turnover (increasing sales as a proportion of total assets)</t>
  </si>
  <si>
    <t>AUTO: AT: 0.68x -&gt; 0.60x (↓)</t>
  </si>
  <si>
    <t>increasing gross margin</t>
  </si>
  <si>
    <t>AUTO: GM: 39.6% -&gt; 41.0% (↑)</t>
  </si>
  <si>
    <t>Piotrosky score</t>
  </si>
  <si>
    <t>Core 9 Criteria</t>
  </si>
  <si>
    <t>Not Majority Chinese</t>
  </si>
  <si>
    <t>MANUAL: Check company domicile manually</t>
  </si>
  <si>
    <t>Low Price-to-NACV (less than 67%)</t>
  </si>
  <si>
    <t>AUTO: P/NCAV = 0.97 (threshold: 0.67)</t>
  </si>
  <si>
    <t>Low Debt-to-Equity</t>
  </si>
  <si>
    <t>AUTO: D/E = 0.02 (threshold: 0.5)</t>
  </si>
  <si>
    <t>Adequate Past Earnings or Catalyst (5%+ NI Margin)</t>
  </si>
  <si>
    <t>AUTO: Max NI margin = 11.7% (threshold: 5%)</t>
  </si>
  <si>
    <t>Past Price Above NCAV</t>
  </si>
  <si>
    <t>MANUAL: Requires historical price data</t>
  </si>
  <si>
    <t>Existing Operations or Liquidation</t>
  </si>
  <si>
    <t>MANUAL: Qualitative assessment required</t>
  </si>
  <si>
    <t>Not Selling Shares</t>
  </si>
  <si>
    <t>AUTO: Shares: 7 -&gt; 7</t>
  </si>
  <si>
    <t>Market Cap &lt;$50mm</t>
  </si>
  <si>
    <t>MANUAL: Market cap = 10,650 (currency/unit check needed)</t>
  </si>
  <si>
    <t>Low NCAV Burn Rate</t>
  </si>
  <si>
    <t>AUTO: Calculated NCAV YoY: -5.9%</t>
  </si>
  <si>
    <t>Total</t>
  </si>
  <si>
    <t>Ranking Criteria (out of 9)</t>
  </si>
  <si>
    <t>Large Current Ratio (over 1.5x)</t>
  </si>
  <si>
    <t>AUTO: CR = 6.55x (threshold: 1.5x)</t>
  </si>
  <si>
    <t>Not financial/real estate/closed end fund</t>
  </si>
  <si>
    <t>MANUAL: Check industry classification manually</t>
  </si>
  <si>
    <t>Company is buying back stock</t>
  </si>
  <si>
    <t>AUTO: Shares: 7 -&gt; 7 (no buyback)</t>
  </si>
  <si>
    <t>Low Price-to-Net Cash</t>
  </si>
  <si>
    <t>MANUAL: Net cash calculation requires manual review</t>
  </si>
  <si>
    <t>Insider Ownership</t>
  </si>
  <si>
    <t>MANUAL: Check ownership sheet manually</t>
  </si>
  <si>
    <t>Insider Buys vs. Sells</t>
  </si>
  <si>
    <t>MANUAL: Requires insider transaction data</t>
  </si>
  <si>
    <t>Burn Rate Low or Positive</t>
  </si>
  <si>
    <t>AUTO: NCAV YoY: -5.9%</t>
  </si>
  <si>
    <t>Insider Pay</t>
  </si>
  <si>
    <t>Dividend Yield?</t>
  </si>
  <si>
    <t>MANUAL: Requires dividend and price data</t>
  </si>
  <si>
    <t>1 yr avg</t>
  </si>
  <si>
    <t>Total Equity</t>
  </si>
  <si>
    <t>EBIT</t>
  </si>
  <si>
    <t>NI</t>
  </si>
  <si>
    <t>Semi-Annually</t>
  </si>
  <si>
    <t>ROA (EBIT)</t>
  </si>
  <si>
    <t>ROA (NI)</t>
  </si>
  <si>
    <t>ROE (EBIT)</t>
  </si>
  <si>
    <t>ROE (NI)</t>
  </si>
  <si>
    <t>Annualized</t>
  </si>
  <si>
    <t>TTM</t>
  </si>
  <si>
    <t>Sales / Assets</t>
  </si>
  <si>
    <t>Name</t>
  </si>
  <si>
    <t>Title</t>
  </si>
  <si>
    <t>shares</t>
  </si>
  <si>
    <t>voting rights</t>
  </si>
  <si>
    <t>% shares</t>
  </si>
  <si>
    <t>% Voting</t>
  </si>
  <si>
    <t>Premium Export</t>
  </si>
  <si>
    <t>Income Statement</t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</si>
  <si>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</si>
  <si>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</si>
  <si>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</si>
  <si>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</si>
  <si>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</si>
  <si>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</si>
  <si>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</si>
  <si>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</si>
  <si>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</si>
  <si>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</si>
  <si>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</si>
  <si>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</si>
  <si>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</si>
  <si>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</si>
  <si>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</si>
  <si>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</si>
  <si>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</si>
  <si>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</si>
  <si>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</si>
  <si>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</si>
  <si>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</si>
  <si>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</si>
  <si>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</si>
  <si>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</si>
  <si>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</si>
  <si>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</si>
  <si>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</si>
  <si>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</si>
  <si>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</si>
  <si>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</si>
  <si>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</si>
  <si>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</si>
  <si>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</si>
  <si>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</si>
  <si>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</si>
  <si>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</si>
  <si>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</si>
  <si>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</si>
  <si>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</si>
  <si>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</si>
  <si>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</si>
  <si>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Revenue</t>
  </si>
  <si>
    <t>Revenue Growth (YoY)</t>
  </si>
  <si>
    <t>-0.8%</t>
  </si>
  <si>
    <t>-31.3%</t>
  </si>
  <si>
    <t>-43.9%</t>
  </si>
  <si>
    <t>-29.1%</t>
  </si>
  <si>
    <t>-10.8%</t>
  </si>
  <si>
    <t>3.3%</t>
  </si>
  <si>
    <t>1.2%</t>
  </si>
  <si>
    <t>-10.1%</t>
  </si>
  <si>
    <t>-22.7%</t>
  </si>
  <si>
    <t>-30.1%</t>
  </si>
  <si>
    <t>-21.1%</t>
  </si>
  <si>
    <t>15.8%</t>
  </si>
  <si>
    <t>5.4%</t>
  </si>
  <si>
    <t>-14.1%</t>
  </si>
  <si>
    <t>0.1%</t>
  </si>
  <si>
    <t>7.6%</t>
  </si>
  <si>
    <t>6.4%</t>
  </si>
  <si>
    <t>10.4%</t>
  </si>
  <si>
    <t>8.3%</t>
  </si>
  <si>
    <t>-14.0%</t>
  </si>
  <si>
    <t>Cost of Revenues</t>
  </si>
  <si>
    <t>Gross Profit</t>
  </si>
  <si>
    <t>Gross Profit Margin</t>
  </si>
  <si>
    <t>42.8%</t>
  </si>
  <si>
    <t>34.9%</t>
  </si>
  <si>
    <t>38.7%</t>
  </si>
  <si>
    <t>29.9%</t>
  </si>
  <si>
    <t>29.7%</t>
  </si>
  <si>
    <t>2.1%</t>
  </si>
  <si>
    <t>31.6%</t>
  </si>
  <si>
    <t>35.5%</t>
  </si>
  <si>
    <t>36.4%</t>
  </si>
  <si>
    <t>34.7%</t>
  </si>
  <si>
    <t>42.5%</t>
  </si>
  <si>
    <t>41.4%</t>
  </si>
  <si>
    <t>59.8%</t>
  </si>
  <si>
    <t>36.8%</t>
  </si>
  <si>
    <t>60.4%</t>
  </si>
  <si>
    <t>55.7%</t>
  </si>
  <si>
    <t>59.1%</t>
  </si>
  <si>
    <t>63.1%</t>
  </si>
  <si>
    <t>64.2%</t>
  </si>
  <si>
    <t>63.7%</t>
  </si>
  <si>
    <t>R&amp;D Expenses</t>
  </si>
  <si>
    <t>Selling and Marketing Expense</t>
  </si>
  <si>
    <t>General &amp; Admin Expenses</t>
  </si>
  <si>
    <t>Other Inc / (Exp)</t>
  </si>
  <si>
    <t>Operating Expenses</t>
  </si>
  <si>
    <t>Operating Income</t>
  </si>
  <si>
    <t>Net Interest Expenses</t>
  </si>
  <si>
    <t>EBT, Incl. Unusual Items</t>
  </si>
  <si>
    <t>Earnings of Discontinued Ops.</t>
  </si>
  <si>
    <t>Income Tax Expense</t>
  </si>
  <si>
    <t>Net Income to Company</t>
  </si>
  <si>
    <t>Minority Interest in Earnings</t>
  </si>
  <si>
    <t>Net Income to Stockholders</t>
  </si>
  <si>
    <t>Preferred Dividends &amp; Other Adj.</t>
  </si>
  <si>
    <t>Net Income to Common Excl Extra Items</t>
  </si>
  <si>
    <t>Basic EPS (Cont. Ops)</t>
  </si>
  <si>
    <t>Diluted EPS (Cont. Ops)</t>
  </si>
  <si>
    <t>Weighted Average Basic Shares Out.</t>
  </si>
  <si>
    <t>Weighted Average Diluted Shares Out.</t>
  </si>
  <si>
    <t>EBITDA</t>
  </si>
  <si>
    <t>Revenue (Reported)</t>
  </si>
  <si>
    <t>Operating Income (Reported)</t>
  </si>
  <si>
    <t>Operating Income (Adjusted)</t>
  </si>
  <si>
    <t>Balance Sheet</t>
  </si>
  <si>
    <t>Cash And Equivalents</t>
  </si>
  <si>
    <t>Short Term Investments</t>
  </si>
  <si>
    <t>Accounts Receivable, Net</t>
  </si>
  <si>
    <t>Prepaid Expenses</t>
  </si>
  <si>
    <t>Other Current Assets</t>
  </si>
  <si>
    <t>Total Current Assets</t>
  </si>
  <si>
    <t>Property Plant And Equipment, Net</t>
  </si>
  <si>
    <t>Real Estate Owned</t>
  </si>
  <si>
    <t>Capitalized / Purchased Software</t>
  </si>
  <si>
    <t>Long-term Investments</t>
  </si>
  <si>
    <t>Goodwill</t>
  </si>
  <si>
    <t>Other Intangibles</t>
  </si>
  <si>
    <t>Other Long-term Assets</t>
  </si>
  <si>
    <t>Accounts Payable</t>
  </si>
  <si>
    <t>Accrued Expenses</t>
  </si>
  <si>
    <t>Short-term Borrowings</t>
  </si>
  <si>
    <t>Current Portion of LT Debt</t>
  </si>
  <si>
    <t>Current Portion of Capital Lease Obligations</t>
  </si>
  <si>
    <t>Other Current Liabilities</t>
  </si>
  <si>
    <t>Total Current Liabilities</t>
  </si>
  <si>
    <t>Long-term Debt</t>
  </si>
  <si>
    <t>Capital Leases</t>
  </si>
  <si>
    <t>Other Non-current Liabilities</t>
  </si>
  <si>
    <t>Common Stock</t>
  </si>
  <si>
    <t>Additional Paid In Capital</t>
  </si>
  <si>
    <t>Retained Earnings</t>
  </si>
  <si>
    <t>Treasury Stock</t>
  </si>
  <si>
    <t>Other Common Equity Adj</t>
  </si>
  <si>
    <t>Common Equity</t>
  </si>
  <si>
    <t>Total Preferred Equity</t>
  </si>
  <si>
    <t>Minority Interest, Total</t>
  </si>
  <si>
    <t>Other Equity</t>
  </si>
  <si>
    <t>Total Liabilities And Equity</t>
  </si>
  <si>
    <t>Cash And Short Term Investments</t>
  </si>
  <si>
    <t>Total Debt</t>
  </si>
  <si>
    <t>Trilogiq</t>
  </si>
  <si>
    <t>Industrial equipment</t>
  </si>
  <si>
    <t>ALTRI</t>
  </si>
  <si>
    <t>Europe (Fr)</t>
  </si>
  <si>
    <t>Euros</t>
  </si>
  <si>
    <t>https://www.trilogiq.com/en-us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</si>
</sst>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#,##0_)_%;\(#,##0\)_%;_(&quot;–&quot;_)_%;_(@_)_%"/>
    <numFmt numFmtId="165" formatCode="_(#,##0.0%_);\(#,##0.0%\);_(&quot;–&quot;_)_%;_(@_)_%"/>
    <numFmt numFmtId="166" formatCode="_(#,##0.00_)_%;\(#,##0.00\)_%;_(&quot;–&quot;_)_%;_(@_)_%"/>
    <numFmt numFmtId="167" formatCode="_(#,##0.0_)_%;\(#,##0.0\)_%;_(&quot;–&quot;_)_%;_(@_)_%"/>
    <numFmt numFmtId="168" formatCode="_(#,##0.000_)_%;\(#,##0.000\)_%;_(&quot;–&quot;_)_%;_(@_)_%"/>
    <numFmt numFmtId="169" formatCode="_([$$]#,##0.00_)_%;\([$$]#,##0.00\)_%;_(&quot;–&quot;_)_%;_(@_)_%"/>
    <numFmt numFmtId="170" formatCode="_([$$]#,##0.0_)_%;\([$$]#,##0.0\)_%;_(&quot;–&quot;_)_%;_(@_)_%"/>
  </numFmts>
  <fonts count="20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i/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434343"/>
      <name val="Arial"/>
      <family val="2"/>
    </font>
    <font>
      <b/>
      <u/>
      <sz val="10"/>
      <color rgb="FF000000"/>
      <name val="Arial"/>
      <family val="2"/>
    </font>
    <font>
      <b/>
      <sz val="20"/>
      <color rgb="FF1551C3"/>
      <name val="Arial"/>
      <family val="2"/>
    </font>
    <font>
      <b/>
      <sz val="10"/>
      <color rgb="FF434343"/>
      <name val="Arial"/>
      <family val="2"/>
    </font>
    <font>
      <b/>
      <sz val="11"/>
      <color rgb="FF1551C3"/>
      <name val="Arial"/>
      <family val="2"/>
    </font>
    <font>
      <sz val="11"/>
      <name val="Arial"/>
      <family val="2"/>
    </font>
    <font>
      <sz val="10"/>
      <color rgb="FF4343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F4CCCC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75">
    <xf numFmtId="0" fontId="0" fillId="0" borderId="0" xfId="0"/>
    <xf numFmtId="164" fontId="1" fillId="0" borderId="0" xfId="0" applyNumberFormat="1" applyFont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65" fontId="0" fillId="0" borderId="0" xfId="0" applyNumberFormat="1"/>
    <xf numFmtId="0" fontId="6" fillId="0" borderId="0" xfId="1" applyFont="1"/>
    <xf numFmtId="164" fontId="7" fillId="0" borderId="0" xfId="1" applyNumberFormat="1" applyFont="1"/>
    <xf numFmtId="164" fontId="6" fillId="0" borderId="0" xfId="1" applyNumberFormat="1" applyFont="1"/>
    <xf numFmtId="166" fontId="6" fillId="0" borderId="0" xfId="1" applyNumberFormat="1" applyFont="1"/>
    <xf numFmtId="0" fontId="8" fillId="0" borderId="0" xfId="1" applyFont="1"/>
    <xf numFmtId="165" fontId="8" fillId="0" borderId="0" xfId="1" applyNumberFormat="1" applyFont="1"/>
    <xf numFmtId="165" fontId="6" fillId="0" borderId="0" xfId="1" applyNumberFormat="1" applyFont="1"/>
    <xf numFmtId="165" fontId="9" fillId="0" borderId="0" xfId="1" applyNumberFormat="1" applyFont="1"/>
    <xf numFmtId="0" fontId="2" fillId="0" borderId="0" xfId="1" applyFont="1"/>
    <xf numFmtId="165" fontId="2" fillId="0" borderId="0" xfId="1" applyNumberFormat="1" applyFont="1"/>
    <xf numFmtId="0" fontId="3" fillId="0" borderId="0" xfId="1" applyFont="1"/>
    <xf numFmtId="0" fontId="6" fillId="0" borderId="1" xfId="1" applyFont="1" applyBorder="1"/>
    <xf numFmtId="164" fontId="6" fillId="0" borderId="1" xfId="1" applyNumberFormat="1" applyFont="1" applyBorder="1"/>
    <xf numFmtId="0" fontId="0" fillId="0" borderId="0" xfId="0" applyAlignment="1">
      <alignment horizontal="center"/>
    </xf>
    <xf numFmtId="164" fontId="9" fillId="0" borderId="0" xfId="1" applyNumberFormat="1" applyFont="1"/>
    <xf numFmtId="164" fontId="6" fillId="0" borderId="0" xfId="1" applyNumberFormat="1" applyFont="1" applyAlignment="1">
      <alignment horizontal="right"/>
    </xf>
    <xf numFmtId="0" fontId="11" fillId="0" borderId="0" xfId="1" applyFont="1"/>
    <xf numFmtId="0" fontId="0" fillId="0" borderId="0" xfId="0" applyAlignment="1">
      <alignment horizontal="left"/>
    </xf>
    <xf numFmtId="165" fontId="6" fillId="0" borderId="0" xfId="1" applyNumberFormat="1" applyFont="1" applyAlignment="1">
      <alignment horizontal="right"/>
    </xf>
    <xf numFmtId="164" fontId="0" fillId="0" borderId="0" xfId="0" applyNumberFormat="1"/>
    <xf numFmtId="166" fontId="9" fillId="0" borderId="0" xfId="1" applyNumberFormat="1" applyFont="1"/>
    <xf numFmtId="167" fontId="5" fillId="0" borderId="0" xfId="1" applyNumberFormat="1" applyFont="1"/>
    <xf numFmtId="164" fontId="6" fillId="0" borderId="1" xfId="1" applyNumberFormat="1" applyFont="1" applyBorder="1" applyAlignment="1">
      <alignment horizontal="right"/>
    </xf>
    <xf numFmtId="168" fontId="7" fillId="0" borderId="0" xfId="1" applyNumberFormat="1" applyFont="1"/>
    <xf numFmtId="166" fontId="6" fillId="0" borderId="0" xfId="1" applyNumberFormat="1" applyFont="1" applyAlignment="1">
      <alignment horizontal="right"/>
    </xf>
    <xf numFmtId="165" fontId="5" fillId="0" borderId="0" xfId="0" applyNumberFormat="1" applyFont="1"/>
    <xf numFmtId="0" fontId="10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165" fontId="8" fillId="0" borderId="0" xfId="1" applyNumberFormat="1" applyFont="1" applyAlignment="1">
      <alignment horizontal="right"/>
    </xf>
    <xf numFmtId="164" fontId="5" fillId="0" borderId="0" xfId="1" applyNumberFormat="1" applyFont="1"/>
    <xf numFmtId="167" fontId="7" fillId="0" borderId="0" xfId="1" applyNumberFormat="1" applyFont="1"/>
    <xf numFmtId="169" fontId="9" fillId="0" borderId="0" xfId="1" applyNumberFormat="1" applyFont="1"/>
    <xf numFmtId="0" fontId="1" fillId="0" borderId="0" xfId="0" applyFont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/>
    <xf numFmtId="0" fontId="13" fillId="0" borderId="0" xfId="6" applyFont="1" applyAlignment="1">
      <alignment horizontal="left"/>
    </xf>
    <xf numFmtId="165" fontId="9" fillId="5" borderId="0" xfId="1" applyNumberFormat="1" applyFont="1" applyFill="1"/>
    <xf numFmtId="0" fontId="0" fillId="5" borderId="1" xfId="0" applyFill="1" applyBorder="1"/>
    <xf numFmtId="164" fontId="1" fillId="5" borderId="1" xfId="0" applyNumberFormat="1" applyFont="1" applyFill="1" applyBorder="1"/>
    <xf numFmtId="165" fontId="4" fillId="5" borderId="1" xfId="0" applyNumberFormat="1" applyFont="1" applyFill="1" applyBorder="1"/>
    <xf numFmtId="0" fontId="0" fillId="5" borderId="0" xfId="0" applyFill="1"/>
    <xf numFmtId="164" fontId="1" fillId="5" borderId="0" xfId="0" applyNumberFormat="1" applyFont="1" applyFill="1"/>
    <xf numFmtId="165" fontId="1" fillId="5" borderId="0" xfId="0" applyNumberFormat="1" applyFont="1" applyFill="1"/>
    <xf numFmtId="165" fontId="6" fillId="4" borderId="0" xfId="1" applyNumberFormat="1" applyFont="1" applyFill="1"/>
    <xf numFmtId="0" fontId="14" fillId="0" borderId="0" xfId="1" applyFont="1"/>
    <xf numFmtId="167" fontId="6" fillId="0" borderId="0" xfId="1" applyNumberFormat="1" applyFont="1"/>
    <xf numFmtId="165" fontId="6" fillId="0" borderId="0" xfId="1" applyNumberFormat="1" applyFont="1" applyAlignment="1">
      <alignment vertical="center"/>
    </xf>
    <xf numFmtId="0" fontId="16" fillId="0" borderId="0" xfId="0" applyFont="1"/>
    <xf numFmtId="0" fontId="18" fillId="2" borderId="0" xfId="0" applyFont="1" applyFill="1"/>
    <xf numFmtId="0" fontId="19" fillId="0" borderId="0" xfId="0" applyFont="1" applyAlignment="1">
      <alignment horizontal="left"/>
    </xf>
    <xf numFmtId="0" fontId="1" fillId="4" borderId="0" xfId="0" applyFont="1" applyFill="1"/>
    <xf numFmtId="166" fontId="6" fillId="4" borderId="0" xfId="1" applyNumberFormat="1" applyFont="1" applyFill="1"/>
    <xf numFmtId="165" fontId="8" fillId="4" borderId="0" xfId="1" applyNumberFormat="1" applyFont="1" applyFill="1"/>
    <xf numFmtId="165" fontId="2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13" fillId="0" borderId="0" xfId="6" applyFont="1" applyAlignment="1">
      <alignment horizontal="center"/>
    </xf>
    <xf numFmtId="164" fontId="7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7" fontId="7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/>
    </xf>
    <xf numFmtId="164" fontId="6" fillId="6" borderId="0" xfId="1" applyNumberFormat="1" applyFont="1" applyFill="1" applyAlignment="1">
      <alignment horizontal="right"/>
    </xf>
    <xf numFmtId="170" fontId="4" fillId="0" borderId="0" xfId="0" applyNumberFormat="1" applyFont="1"/>
    <xf numFmtId="164" fontId="4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0" fontId="0" fillId="0" borderId="0" xfId="0"/>
    <xf numFmtId="0" fontId="17" fillId="2" borderId="0" xfId="0" applyFont="1" applyFill="1"/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NCAV/Share Burn, YoY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ncav!$D$36:$R$36</c:f>
              <c:numCache>
                <c:formatCode>_(#,##0.0%_);\(#,##0.0%\);_("–"_)_%;_(@_)_%</c:formatCode>
                <c:ptCount val="15"/>
                <c:pt idx="4">
                  <c:v>-0.1206896551724137</c:v>
                </c:pt>
                <c:pt idx="5">
                  <c:v>-0.1206896551724137</c:v>
                </c:pt>
                <c:pt idx="6">
                  <c:v>-0.18892380204241932</c:v>
                </c:pt>
                <c:pt idx="7">
                  <c:v>-0.18892380204241932</c:v>
                </c:pt>
                <c:pt idx="8">
                  <c:v>-0.20420420420420426</c:v>
                </c:pt>
                <c:pt idx="9">
                  <c:v>-0.20420420420420426</c:v>
                </c:pt>
                <c:pt idx="10">
                  <c:v>0</c:v>
                </c:pt>
                <c:pt idx="11">
                  <c:v>-0.15400824553366954</c:v>
                </c:pt>
                <c:pt idx="12">
                  <c:v>-1</c:v>
                </c:pt>
                <c:pt idx="13">
                  <c:v>-1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B-4A9A-AF06-4E6410F5D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082600"/>
        <c:axId val="672071800"/>
      </c:barChart>
      <c:catAx>
        <c:axId val="6720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71800"/>
        <c:crosses val="autoZero"/>
        <c:auto val="1"/>
        <c:lblAlgn val="ctr"/>
        <c:lblOffset val="100"/>
        <c:noMultiLvlLbl val="0"/>
      </c:catAx>
      <c:valAx>
        <c:axId val="6720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26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NCAV/Share Burn, QoQ</a:t>
            </a:r>
          </a:p>
        </c:rich>
      </c:tx>
      <c:layout>
        <c:manualLayout>
          <c:xMode val="edge"/>
          <c:yMode val="edge"/>
          <c:x val="0.41533905531500842"/>
          <c:y val="1.945079828679819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ncav!$D$35:$R$35</c:f>
              <c:numCache>
                <c:formatCode>_(#,##0.0%_);\(#,##0.0%\);_("–"_)_%;_(@_)_%</c:formatCode>
                <c:ptCount val="15"/>
                <c:pt idx="1">
                  <c:v>0</c:v>
                </c:pt>
                <c:pt idx="2">
                  <c:v>-6.4860426929392423E-2</c:v>
                </c:pt>
                <c:pt idx="3">
                  <c:v>0</c:v>
                </c:pt>
                <c:pt idx="4">
                  <c:v>-5.9701492537313383E-2</c:v>
                </c:pt>
                <c:pt idx="5">
                  <c:v>0</c:v>
                </c:pt>
                <c:pt idx="6">
                  <c:v>-0.13742690058479523</c:v>
                </c:pt>
                <c:pt idx="7">
                  <c:v>0</c:v>
                </c:pt>
                <c:pt idx="8">
                  <c:v>-7.741639945029799E-2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6D-4A11-A10F-6F2CB0307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082600"/>
        <c:axId val="672071800"/>
      </c:barChart>
      <c:catAx>
        <c:axId val="6720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71800"/>
        <c:crosses val="autoZero"/>
        <c:auto val="1"/>
        <c:lblAlgn val="ctr"/>
        <c:lblOffset val="100"/>
        <c:noMultiLvlLbl val="0"/>
      </c:catAx>
      <c:valAx>
        <c:axId val="6720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26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ncav!$D$1:$R$1</c:f>
              <c:strCache>
                <c:ptCount val="15"/>
                <c:pt idx="0">
                  <c:v>2015-06-30</c:v>
                </c:pt>
                <c:pt idx="1">
                  <c:v>2015-09-30</c:v>
                </c:pt>
                <c:pt idx="2">
                  <c:v>2015-12-31</c:v>
                </c:pt>
                <c:pt idx="3">
                  <c:v>2016-03-31</c:v>
                </c:pt>
                <c:pt idx="4">
                  <c:v>2016-06-30</c:v>
                </c:pt>
                <c:pt idx="5">
                  <c:v>2016-09-30</c:v>
                </c:pt>
                <c:pt idx="6">
                  <c:v>2016-12-31</c:v>
                </c:pt>
                <c:pt idx="7">
                  <c:v>2017-03-31</c:v>
                </c:pt>
                <c:pt idx="8">
                  <c:v>2017-06-30</c:v>
                </c:pt>
                <c:pt idx="9">
                  <c:v>2017-09-30</c:v>
                </c:pt>
                <c:pt idx="10">
                  <c:v>2017-12-31</c:v>
                </c:pt>
                <c:pt idx="11">
                  <c:v>2018-03-31</c:v>
                </c:pt>
                <c:pt idx="12">
                  <c:v>2018-06-30</c:v>
                </c:pt>
                <c:pt idx="13">
                  <c:v>2018-09-30</c:v>
                </c:pt>
                <c:pt idx="14">
                  <c:v>2018-12-31</c:v>
                </c:pt>
              </c:strCache>
            </c:strRef>
          </c:cat>
          <c:val>
            <c:numRef>
              <c:f>ncav!$D$26:$R$26</c:f>
              <c:numCache>
                <c:formatCode>_(#,##0.00_)_%;\(#,##0.00\)_%;_("–"_)_%;_(@_)_%</c:formatCode>
                <c:ptCount val="15"/>
                <c:pt idx="0">
                  <c:v>4.384615384615385</c:v>
                </c:pt>
                <c:pt idx="1">
                  <c:v>4.384615384615385</c:v>
                </c:pt>
                <c:pt idx="2">
                  <c:v>5.8714285714285719</c:v>
                </c:pt>
                <c:pt idx="3">
                  <c:v>5.8714285714285719</c:v>
                </c:pt>
                <c:pt idx="4">
                  <c:v>6.532258064516129</c:v>
                </c:pt>
                <c:pt idx="5">
                  <c:v>6.532258064516129</c:v>
                </c:pt>
                <c:pt idx="6">
                  <c:v>7.0576923076923084</c:v>
                </c:pt>
                <c:pt idx="7">
                  <c:v>7.0576923076923084</c:v>
                </c:pt>
                <c:pt idx="8">
                  <c:v>6.7777777777777777</c:v>
                </c:pt>
                <c:pt idx="9">
                  <c:v>6.7777777777777777</c:v>
                </c:pt>
                <c:pt idx="10">
                  <c:v>6.5490196078431371</c:v>
                </c:pt>
                <c:pt idx="11">
                  <c:v>6.5490196078431371</c:v>
                </c:pt>
                <c:pt idx="12">
                  <c:v>0</c:v>
                </c:pt>
                <c:pt idx="13">
                  <c:v>0</c:v>
                </c:pt>
                <c:pt idx="14">
                  <c:v>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2-4100-9843-3671FFF4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427888"/>
        <c:axId val="664425728"/>
      </c:lineChart>
      <c:catAx>
        <c:axId val="6644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25728"/>
        <c:crosses val="autoZero"/>
        <c:auto val="1"/>
        <c:lblAlgn val="ctr"/>
        <c:lblOffset val="100"/>
        <c:noMultiLvlLbl val="0"/>
      </c:catAx>
      <c:valAx>
        <c:axId val="6644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278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Ratio, 4 per MA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ncav!$D$1:$R$1</c:f>
              <c:strCache>
                <c:ptCount val="15"/>
                <c:pt idx="0">
                  <c:v>2015-06-30</c:v>
                </c:pt>
                <c:pt idx="1">
                  <c:v>2015-09-30</c:v>
                </c:pt>
                <c:pt idx="2">
                  <c:v>2015-12-31</c:v>
                </c:pt>
                <c:pt idx="3">
                  <c:v>2016-03-31</c:v>
                </c:pt>
                <c:pt idx="4">
                  <c:v>2016-06-30</c:v>
                </c:pt>
                <c:pt idx="5">
                  <c:v>2016-09-30</c:v>
                </c:pt>
                <c:pt idx="6">
                  <c:v>2016-12-31</c:v>
                </c:pt>
                <c:pt idx="7">
                  <c:v>2017-03-31</c:v>
                </c:pt>
                <c:pt idx="8">
                  <c:v>2017-06-30</c:v>
                </c:pt>
                <c:pt idx="9">
                  <c:v>2017-09-30</c:v>
                </c:pt>
                <c:pt idx="10">
                  <c:v>2017-12-31</c:v>
                </c:pt>
                <c:pt idx="11">
                  <c:v>2018-03-31</c:v>
                </c:pt>
                <c:pt idx="12">
                  <c:v>2018-06-30</c:v>
                </c:pt>
                <c:pt idx="13">
                  <c:v>2018-09-30</c:v>
                </c:pt>
                <c:pt idx="14">
                  <c:v>2018-12-31</c:v>
                </c:pt>
              </c:strCache>
            </c:strRef>
          </c:cat>
          <c:val>
            <c:numRef>
              <c:f>ncav!$D$27:$R$27</c:f>
              <c:numCache>
                <c:formatCode>_(#,##0.00_)_%;\(#,##0.00\)_%;_("–"_)_%;_(@_)_%</c:formatCode>
                <c:ptCount val="15"/>
                <c:pt idx="0">
                  <c:v>4.384615384615385</c:v>
                </c:pt>
                <c:pt idx="1">
                  <c:v>4.384615384615385</c:v>
                </c:pt>
                <c:pt idx="2">
                  <c:v>4.8802197802197806</c:v>
                </c:pt>
                <c:pt idx="3">
                  <c:v>5.1280219780219785</c:v>
                </c:pt>
                <c:pt idx="4">
                  <c:v>5.6649326479971638</c:v>
                </c:pt>
                <c:pt idx="5">
                  <c:v>6.20184331797235</c:v>
                </c:pt>
                <c:pt idx="6">
                  <c:v>6.4984092520382841</c:v>
                </c:pt>
                <c:pt idx="7">
                  <c:v>6.7949751861042191</c:v>
                </c:pt>
                <c:pt idx="8">
                  <c:v>6.8563551144196317</c:v>
                </c:pt>
                <c:pt idx="9">
                  <c:v>6.9177350427350435</c:v>
                </c:pt>
                <c:pt idx="10">
                  <c:v>6.7905668677727498</c:v>
                </c:pt>
                <c:pt idx="11">
                  <c:v>6.6633986928104569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8-4DA9-8456-923B32592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435104"/>
        <c:axId val="732433664"/>
      </c:lineChart>
      <c:catAx>
        <c:axId val="73243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33664"/>
        <c:crosses val="autoZero"/>
        <c:auto val="1"/>
        <c:lblAlgn val="ctr"/>
        <c:lblOffset val="100"/>
        <c:noMultiLvlLbl val="0"/>
      </c:catAx>
      <c:valAx>
        <c:axId val="73243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351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 4 period MA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profitability!$G$1:$V$1</c:f>
              <c:strCache>
                <c:ptCount val="16"/>
                <c:pt idx="0">
                  <c:v>2016-06-30</c:v>
                </c:pt>
                <c:pt idx="1">
                  <c:v>2016-09-30</c:v>
                </c:pt>
                <c:pt idx="2">
                  <c:v>2016-12-31</c:v>
                </c:pt>
                <c:pt idx="3">
                  <c:v>2017-03-31</c:v>
                </c:pt>
                <c:pt idx="4">
                  <c:v>2017-06-30</c:v>
                </c:pt>
                <c:pt idx="5">
                  <c:v>2017-09-30</c:v>
                </c:pt>
                <c:pt idx="6">
                  <c:v>2017-12-31</c:v>
                </c:pt>
                <c:pt idx="7">
                  <c:v>2018-03-31</c:v>
                </c:pt>
                <c:pt idx="8">
                  <c:v>2018-06-30</c:v>
                </c:pt>
                <c:pt idx="9">
                  <c:v>2018-09-30</c:v>
                </c:pt>
                <c:pt idx="10">
                  <c:v>2018-12-31</c:v>
                </c:pt>
                <c:pt idx="11">
                  <c:v>2019-03-31</c:v>
                </c:pt>
                <c:pt idx="12">
                  <c:v>2019-06-30</c:v>
                </c:pt>
                <c:pt idx="13">
                  <c:v>2019-09-30</c:v>
                </c:pt>
                <c:pt idx="14">
                  <c:v>2019-12-31</c:v>
                </c:pt>
                <c:pt idx="15">
                  <c:v>2020-03-31</c:v>
                </c:pt>
              </c:strCache>
            </c:strRef>
          </c:cat>
          <c:val>
            <c:numRef>
              <c:f>profitability!$G$8:$V$8</c:f>
              <c:numCache>
                <c:formatCode>_(#,##0.0%_);\(#,##0.0%\);_("–"_)_%;_(@_)_%</c:formatCode>
                <c:ptCount val="16"/>
                <c:pt idx="0">
                  <c:v>0.37636414119464967</c:v>
                </c:pt>
                <c:pt idx="1">
                  <c:v>0.36603650586701431</c:v>
                </c:pt>
                <c:pt idx="2">
                  <c:v>0.35357686099211522</c:v>
                </c:pt>
                <c:pt idx="3">
                  <c:v>0.34111721611721613</c:v>
                </c:pt>
                <c:pt idx="4">
                  <c:v>0.31903744403744405</c:v>
                </c:pt>
                <c:pt idx="5">
                  <c:v>0.29695767195767198</c:v>
                </c:pt>
                <c:pt idx="6">
                  <c:v>0.22830003648969166</c:v>
                </c:pt>
                <c:pt idx="7">
                  <c:v>0.15964240102171134</c:v>
                </c:pt>
                <c:pt idx="8">
                  <c:v>0.16483661963056415</c:v>
                </c:pt>
                <c:pt idx="9">
                  <c:v>0.17003083823941689</c:v>
                </c:pt>
                <c:pt idx="10">
                  <c:v>0.25402730154622505</c:v>
                </c:pt>
                <c:pt idx="11">
                  <c:v>0.3380237648530332</c:v>
                </c:pt>
                <c:pt idx="12">
                  <c:v>0.35002531343994764</c:v>
                </c:pt>
                <c:pt idx="13">
                  <c:v>0.36202686202686202</c:v>
                </c:pt>
                <c:pt idx="14">
                  <c:v>0.36024623524623522</c:v>
                </c:pt>
                <c:pt idx="15">
                  <c:v>0.35846560846560843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D-4563-BA1A-795210006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692696"/>
        <c:axId val="1194695216"/>
      </c:barChart>
      <c:catAx>
        <c:axId val="119469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5216"/>
        <c:crosses val="autoZero"/>
        <c:auto val="1"/>
        <c:lblAlgn val="ctr"/>
        <c:lblOffset val="100"/>
        <c:noMultiLvlLbl val="0"/>
      </c:catAx>
      <c:valAx>
        <c:axId val="11946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26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YoY%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profitability!$G$1:$V$1</c:f>
              <c:strCache>
                <c:ptCount val="16"/>
                <c:pt idx="0">
                  <c:v>2016-06-30</c:v>
                </c:pt>
                <c:pt idx="1">
                  <c:v>2016-09-30</c:v>
                </c:pt>
                <c:pt idx="2">
                  <c:v>2016-12-31</c:v>
                </c:pt>
                <c:pt idx="3">
                  <c:v>2017-03-31</c:v>
                </c:pt>
                <c:pt idx="4">
                  <c:v>2017-06-30</c:v>
                </c:pt>
                <c:pt idx="5">
                  <c:v>2017-09-30</c:v>
                </c:pt>
                <c:pt idx="6">
                  <c:v>2017-12-31</c:v>
                </c:pt>
                <c:pt idx="7">
                  <c:v>2018-03-31</c:v>
                </c:pt>
                <c:pt idx="8">
                  <c:v>2018-06-30</c:v>
                </c:pt>
                <c:pt idx="9">
                  <c:v>2018-09-30</c:v>
                </c:pt>
                <c:pt idx="10">
                  <c:v>2018-12-31</c:v>
                </c:pt>
                <c:pt idx="11">
                  <c:v>2019-03-31</c:v>
                </c:pt>
                <c:pt idx="12">
                  <c:v>2019-06-30</c:v>
                </c:pt>
                <c:pt idx="13">
                  <c:v>2019-09-30</c:v>
                </c:pt>
                <c:pt idx="14">
                  <c:v>2019-12-31</c:v>
                </c:pt>
                <c:pt idx="15">
                  <c:v>2020-03-31</c:v>
                </c:pt>
              </c:strCache>
            </c:strRef>
          </c:cat>
          <c:val>
            <c:numRef>
              <c:f>profitability!$G$4:$V$4</c:f>
              <c:numCache>
                <c:formatCode>_(#,##0.0%_);\(#,##0.0%\);_("–"_)_%;_(@_)_%</c:formatCode>
                <c:ptCount val="16"/>
                <c:pt idx="0">
                  <c:v>-0.43827160493827155</c:v>
                </c:pt>
                <c:pt idx="1">
                  <c:v>-0.43827160493827155</c:v>
                </c:pt>
                <c:pt idx="2">
                  <c:v>-0.28813559322033899</c:v>
                </c:pt>
                <c:pt idx="3">
                  <c:v>-0.28813559322033899</c:v>
                </c:pt>
                <c:pt idx="4">
                  <c:v>-0.10989010989010994</c:v>
                </c:pt>
                <c:pt idx="5">
                  <c:v>-0.10989010989010994</c:v>
                </c:pt>
                <c:pt idx="6">
                  <c:v>3.5714285714285587E-2</c:v>
                </c:pt>
                <c:pt idx="7">
                  <c:v>3.5714285714285587E-2</c:v>
                </c:pt>
                <c:pt idx="8">
                  <c:v>1.2345679012345734E-2</c:v>
                </c:pt>
                <c:pt idx="9">
                  <c:v>1.2345679012345734E-2</c:v>
                </c:pt>
                <c:pt idx="10">
                  <c:v>-0.10344827586206895</c:v>
                </c:pt>
                <c:pt idx="11">
                  <c:v>-0.10344827586206895</c:v>
                </c:pt>
                <c:pt idx="12">
                  <c:v>-0.23170731707317072</c:v>
                </c:pt>
                <c:pt idx="13">
                  <c:v>-0.23170731707317072</c:v>
                </c:pt>
                <c:pt idx="14">
                  <c:v>-0.3076923076923076</c:v>
                </c:pt>
                <c:pt idx="15">
                  <c:v>-0.3076923076923076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2-49CD-A270-8A21658EE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692696"/>
        <c:axId val="1194695216"/>
      </c:barChart>
      <c:catAx>
        <c:axId val="119469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5216"/>
        <c:crosses val="autoZero"/>
        <c:auto val="1"/>
        <c:lblAlgn val="ctr"/>
        <c:lblOffset val="100"/>
        <c:noMultiLvlLbl val="0"/>
      </c:catAx>
      <c:valAx>
        <c:axId val="11946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26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Anualized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ro!$A$20</c:f>
              <c:strCache>
                <c:ptCount val="1"/>
                <c:pt idx="0">
                  <c:v>ROA (EBIT)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2016-09-30</c:v>
                </c:pt>
                <c:pt idx="1">
                  <c:v>2016-12-31</c:v>
                </c:pt>
                <c:pt idx="2">
                  <c:v>2017-03-31</c:v>
                </c:pt>
                <c:pt idx="3">
                  <c:v>2017-06-30</c:v>
                </c:pt>
                <c:pt idx="4">
                  <c:v>2017-09-30</c:v>
                </c:pt>
                <c:pt idx="5">
                  <c:v>2017-12-31</c:v>
                </c:pt>
                <c:pt idx="6">
                  <c:v>2018-03-31</c:v>
                </c:pt>
                <c:pt idx="7">
                  <c:v>2018-06-30</c:v>
                </c:pt>
                <c:pt idx="8">
                  <c:v>2018-09-30</c:v>
                </c:pt>
                <c:pt idx="9">
                  <c:v>2018-12-31</c:v>
                </c:pt>
                <c:pt idx="10">
                  <c:v>2019-03-31</c:v>
                </c:pt>
                <c:pt idx="11">
                  <c:v>2019-06-30</c:v>
                </c:pt>
                <c:pt idx="12">
                  <c:v>2019-09-30</c:v>
                </c:pt>
                <c:pt idx="13">
                  <c:v>2019-12-31</c:v>
                </c:pt>
              </c:strCache>
            </c:strRef>
          </c:cat>
          <c:val>
            <c:numRef>
              <c:f>ro!$I$20:$V$20</c:f>
              <c:numCache>
                <c:formatCode>_(#,##0.0%_);\(#,##0.0%\);_("–"_)_%;_(@_)_%</c:formatCode>
                <c:ptCount val="14"/>
                <c:pt idx="0">
                  <c:v>-1.6220600162206E-2</c:v>
                </c:pt>
                <c:pt idx="1">
                  <c:v>-1.6638935108153077E-2</c:v>
                </c:pt>
                <c:pt idx="2">
                  <c:v>-1.680672268907563E-2</c:v>
                </c:pt>
                <c:pt idx="3">
                  <c:v>-1.6977928692699491E-2</c:v>
                </c:pt>
                <c:pt idx="4">
                  <c:v>1.0820559062218214E-2</c:v>
                </c:pt>
                <c:pt idx="5">
                  <c:v>1.1538461538461537E-2</c:v>
                </c:pt>
                <c:pt idx="6">
                  <c:v>-1.5384615384615385E-2</c:v>
                </c:pt>
                <c:pt idx="7">
                  <c:v>0</c:v>
                </c:pt>
                <c:pt idx="8">
                  <c:v>-2.5477707006369425E-2</c:v>
                </c:pt>
                <c:pt idx="9">
                  <c:v>-1.2738853503184712E-2</c:v>
                </c:pt>
                <c:pt idx="10">
                  <c:v>-4.3811610076670317E-3</c:v>
                </c:pt>
                <c:pt idx="11">
                  <c:v>-4.5248868778280538E-3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0-4648-85FA-E18EB279B908}"/>
            </c:ext>
          </c:extLst>
        </c:ser>
        <c:ser>
          <c:idx val="1"/>
          <c:order val="1"/>
          <c:tx>
            <c:strRef>
              <c:f>ro!$A$21</c:f>
              <c:strCache>
                <c:ptCount val="1"/>
                <c:pt idx="0">
                  <c:v>ROA (NI)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2016-09-30</c:v>
                </c:pt>
                <c:pt idx="1">
                  <c:v>2016-12-31</c:v>
                </c:pt>
                <c:pt idx="2">
                  <c:v>2017-03-31</c:v>
                </c:pt>
                <c:pt idx="3">
                  <c:v>2017-06-30</c:v>
                </c:pt>
                <c:pt idx="4">
                  <c:v>2017-09-30</c:v>
                </c:pt>
                <c:pt idx="5">
                  <c:v>2017-12-31</c:v>
                </c:pt>
                <c:pt idx="6">
                  <c:v>2018-03-31</c:v>
                </c:pt>
                <c:pt idx="7">
                  <c:v>2018-06-30</c:v>
                </c:pt>
                <c:pt idx="8">
                  <c:v>2018-09-30</c:v>
                </c:pt>
                <c:pt idx="9">
                  <c:v>2018-12-31</c:v>
                </c:pt>
                <c:pt idx="10">
                  <c:v>2019-03-31</c:v>
                </c:pt>
                <c:pt idx="11">
                  <c:v>2019-06-30</c:v>
                </c:pt>
                <c:pt idx="12">
                  <c:v>2019-09-30</c:v>
                </c:pt>
                <c:pt idx="13">
                  <c:v>2019-12-31</c:v>
                </c:pt>
              </c:strCache>
            </c:strRef>
          </c:cat>
          <c:val>
            <c:numRef>
              <c:f>ro!$I$21:$V$21</c:f>
              <c:numCache>
                <c:formatCode>_(#,##0.0%_);\(#,##0.0%\);_("–"_)_%;_(@_)_%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0-4648-85FA-E18EB279B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391528"/>
        <c:axId val="664391888"/>
      </c:barChart>
      <c:catAx>
        <c:axId val="66439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888"/>
        <c:crosses val="autoZero"/>
        <c:auto val="1"/>
        <c:lblAlgn val="ctr"/>
        <c:lblOffset val="100"/>
        <c:noMultiLvlLbl val="0"/>
      </c:catAx>
      <c:valAx>
        <c:axId val="6643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5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TTM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ro!$A$27</c:f>
              <c:strCache>
                <c:ptCount val="1"/>
                <c:pt idx="0">
                  <c:v>ROA (EBIT)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2016-09-30</c:v>
                </c:pt>
                <c:pt idx="1">
                  <c:v>2016-12-31</c:v>
                </c:pt>
                <c:pt idx="2">
                  <c:v>2017-03-31</c:v>
                </c:pt>
                <c:pt idx="3">
                  <c:v>2017-06-30</c:v>
                </c:pt>
                <c:pt idx="4">
                  <c:v>2017-09-30</c:v>
                </c:pt>
                <c:pt idx="5">
                  <c:v>2017-12-31</c:v>
                </c:pt>
                <c:pt idx="6">
                  <c:v>2018-03-31</c:v>
                </c:pt>
                <c:pt idx="7">
                  <c:v>2018-06-30</c:v>
                </c:pt>
                <c:pt idx="8">
                  <c:v>2018-09-30</c:v>
                </c:pt>
                <c:pt idx="9">
                  <c:v>2018-12-31</c:v>
                </c:pt>
                <c:pt idx="10">
                  <c:v>2019-03-31</c:v>
                </c:pt>
                <c:pt idx="11">
                  <c:v>2019-06-30</c:v>
                </c:pt>
                <c:pt idx="12">
                  <c:v>2019-09-30</c:v>
                </c:pt>
                <c:pt idx="13">
                  <c:v>2019-12-31</c:v>
                </c:pt>
              </c:strCache>
            </c:strRef>
          </c:cat>
          <c:val>
            <c:numRef>
              <c:f>ro!$I$27:$V$27</c:f>
              <c:numCache>
                <c:formatCode>_(#,##0.0%_);\(#,##0.0%\);_("–"_)_%;_(@_)_%</c:formatCode>
                <c:ptCount val="14"/>
                <c:pt idx="0">
                  <c:v>0</c:v>
                </c:pt>
                <c:pt idx="1">
                  <c:v>-1.6220600162206E-2</c:v>
                </c:pt>
                <c:pt idx="2">
                  <c:v>-1.680672268907563E-2</c:v>
                </c:pt>
                <c:pt idx="3">
                  <c:v>-1.680672268907563E-2</c:v>
                </c:pt>
                <c:pt idx="4">
                  <c:v>-3.6068530207394047E-3</c:v>
                </c:pt>
                <c:pt idx="5">
                  <c:v>1.0820559062218214E-2</c:v>
                </c:pt>
                <c:pt idx="6">
                  <c:v>3.8461538461538455E-3</c:v>
                </c:pt>
                <c:pt idx="7">
                  <c:v>-1.5384615384615385E-2</c:v>
                </c:pt>
                <c:pt idx="8">
                  <c:v>-2.1231422505307854E-2</c:v>
                </c:pt>
                <c:pt idx="9">
                  <c:v>-2.5477707006369425E-2</c:v>
                </c:pt>
                <c:pt idx="10">
                  <c:v>-8.7623220153340634E-3</c:v>
                </c:pt>
                <c:pt idx="11">
                  <c:v>-4.3811610076670317E-3</c:v>
                </c:pt>
                <c:pt idx="12">
                  <c:v>-2.3529411764705885E-3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7-4D02-B3FB-5F2FEE0F46B9}"/>
            </c:ext>
          </c:extLst>
        </c:ser>
        <c:ser>
          <c:idx val="1"/>
          <c:order val="1"/>
          <c:tx>
            <c:strRef>
              <c:f>ro!$A$28</c:f>
              <c:strCache>
                <c:ptCount val="1"/>
                <c:pt idx="0">
                  <c:v>ROA (NI)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2016-09-30</c:v>
                </c:pt>
                <c:pt idx="1">
                  <c:v>2016-12-31</c:v>
                </c:pt>
                <c:pt idx="2">
                  <c:v>2017-03-31</c:v>
                </c:pt>
                <c:pt idx="3">
                  <c:v>2017-06-30</c:v>
                </c:pt>
                <c:pt idx="4">
                  <c:v>2017-09-30</c:v>
                </c:pt>
                <c:pt idx="5">
                  <c:v>2017-12-31</c:v>
                </c:pt>
                <c:pt idx="6">
                  <c:v>2018-03-31</c:v>
                </c:pt>
                <c:pt idx="7">
                  <c:v>2018-06-30</c:v>
                </c:pt>
                <c:pt idx="8">
                  <c:v>2018-09-30</c:v>
                </c:pt>
                <c:pt idx="9">
                  <c:v>2018-12-31</c:v>
                </c:pt>
                <c:pt idx="10">
                  <c:v>2019-03-31</c:v>
                </c:pt>
                <c:pt idx="11">
                  <c:v>2019-06-30</c:v>
                </c:pt>
                <c:pt idx="12">
                  <c:v>2019-09-30</c:v>
                </c:pt>
                <c:pt idx="13">
                  <c:v>2019-12-31</c:v>
                </c:pt>
              </c:strCache>
            </c:strRef>
          </c:cat>
          <c:val>
            <c:numRef>
              <c:f>ro!$I$28:$V$28</c:f>
              <c:numCache>
                <c:formatCode>_(#,##0.0%_);\(#,##0.0%\);_("–"_)_%;_(@_)_%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7-4D02-B3FB-5F2FEE0F4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391528"/>
        <c:axId val="664391888"/>
      </c:barChart>
      <c:catAx>
        <c:axId val="66439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888"/>
        <c:crosses val="autoZero"/>
        <c:auto val="1"/>
        <c:lblAlgn val="ctr"/>
        <c:lblOffset val="100"/>
        <c:noMultiLvlLbl val="0"/>
      </c:catAx>
      <c:valAx>
        <c:axId val="6643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5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Turnover (Sales/Assets)</a:t>
            </a:r>
          </a:p>
        </c:rich>
      </c:tx>
      <c:layout>
        <c:manualLayout>
          <c:xMode val="edge"/>
          <c:yMode val="edge"/>
          <c:x val="0.31504855643044621"/>
          <c:y val="2.31481481481481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ro!$C$1:$U$1</c:f>
              <c:strCache>
                <c:ptCount val="19"/>
                <c:pt idx="0">
                  <c:v>2015-06-30</c:v>
                </c:pt>
                <c:pt idx="1">
                  <c:v>2015-09-30</c:v>
                </c:pt>
                <c:pt idx="2">
                  <c:v>2015-12-31</c:v>
                </c:pt>
                <c:pt idx="3">
                  <c:v>2016-03-31</c:v>
                </c:pt>
                <c:pt idx="4">
                  <c:v>2016-06-30</c:v>
                </c:pt>
                <c:pt idx="5">
                  <c:v>2016-09-30</c:v>
                </c:pt>
                <c:pt idx="6">
                  <c:v>2016-12-31</c:v>
                </c:pt>
                <c:pt idx="7">
                  <c:v>2017-03-31</c:v>
                </c:pt>
                <c:pt idx="8">
                  <c:v>2017-06-30</c:v>
                </c:pt>
                <c:pt idx="9">
                  <c:v>2017-09-30</c:v>
                </c:pt>
                <c:pt idx="10">
                  <c:v>2017-12-31</c:v>
                </c:pt>
                <c:pt idx="11">
                  <c:v>2018-03-31</c:v>
                </c:pt>
                <c:pt idx="12">
                  <c:v>2018-06-30</c:v>
                </c:pt>
                <c:pt idx="13">
                  <c:v>2018-09-30</c:v>
                </c:pt>
                <c:pt idx="14">
                  <c:v>2018-12-31</c:v>
                </c:pt>
                <c:pt idx="15">
                  <c:v>2019-03-31</c:v>
                </c:pt>
                <c:pt idx="16">
                  <c:v>2019-06-30</c:v>
                </c:pt>
                <c:pt idx="17">
                  <c:v>2019-09-30</c:v>
                </c:pt>
                <c:pt idx="18">
                  <c:v>2019-12-31</c:v>
                </c:pt>
              </c:strCache>
            </c:strRef>
          </c:cat>
          <c:val>
            <c:numRef>
              <c:f>ro!$C$33:$V$33</c:f>
              <c:numCache>
                <c:formatCode>_(#,##0.00_)_%;\(#,##0.00\)_%;_("–"_)_%;_(@_)_%</c:formatCode>
                <c:ptCount val="20"/>
                <c:pt idx="1">
                  <c:v>0.96860986547085193</c:v>
                </c:pt>
                <c:pt idx="2">
                  <c:v>0.72503840245775741</c:v>
                </c:pt>
                <c:pt idx="3">
                  <c:v>0.74565560821485</c:v>
                </c:pt>
                <c:pt idx="4">
                  <c:v>0.57549407114624507</c:v>
                </c:pt>
                <c:pt idx="5">
                  <c:v>0.57594936708860756</c:v>
                </c:pt>
                <c:pt idx="6">
                  <c:v>0.54501216545012166</c:v>
                </c:pt>
                <c:pt idx="7">
                  <c:v>0.55906821963394349</c:v>
                </c:pt>
                <c:pt idx="8">
                  <c:v>0.54453781512605037</c:v>
                </c:pt>
                <c:pt idx="9">
                  <c:v>0.55008488964346347</c:v>
                </c:pt>
                <c:pt idx="10">
                  <c:v>0.62759242560865636</c:v>
                </c:pt>
                <c:pt idx="11">
                  <c:v>0.66923076923076918</c:v>
                </c:pt>
                <c:pt idx="12">
                  <c:v>1.2615384615384615</c:v>
                </c:pt>
                <c:pt idx="13">
                  <c:v>0</c:v>
                </c:pt>
                <c:pt idx="14">
                  <c:v>1.3248407643312101</c:v>
                </c:pt>
                <c:pt idx="15">
                  <c:v>0.66242038216560506</c:v>
                </c:pt>
                <c:pt idx="16">
                  <c:v>0.55202628696604594</c:v>
                </c:pt>
                <c:pt idx="17">
                  <c:v>0.57013574660633481</c:v>
                </c:pt>
                <c:pt idx="18">
                  <c:v>0.50823529411764712</c:v>
                </c:pt>
                <c:pt idx="19">
                  <c:v>0.52941176470588247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6-495E-B091-AE4C84E20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657744"/>
        <c:axId val="737666744"/>
      </c:lineChart>
      <c:catAx>
        <c:axId val="73765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66744"/>
        <c:crosses val="autoZero"/>
        <c:auto val="1"/>
        <c:lblAlgn val="ctr"/>
        <c:lblOffset val="100"/>
        <c:noMultiLvlLbl val="0"/>
      </c:catAx>
      <c:valAx>
        <c:axId val="73766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5774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94747</xdr:colOff>
      <xdr:row>11</xdr:row>
      <xdr:rowOff>187451</xdr:rowOff>
    </xdr:from>
    <xdr:to>
      <xdr:col>51</xdr:col>
      <xdr:colOff>446612</xdr:colOff>
      <xdr:row>28</xdr:row>
      <xdr:rowOff>27105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33618</xdr:colOff>
      <xdr:row>32</xdr:row>
      <xdr:rowOff>44823</xdr:rowOff>
    </xdr:from>
    <xdr:to>
      <xdr:col>51</xdr:col>
      <xdr:colOff>386502</xdr:colOff>
      <xdr:row>57</xdr:row>
      <xdr:rowOff>40341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60</xdr:row>
      <xdr:rowOff>0</xdr:rowOff>
    </xdr:from>
    <xdr:to>
      <xdr:col>31</xdr:col>
      <xdr:colOff>336177</xdr:colOff>
      <xdr:row>77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515471</xdr:colOff>
      <xdr:row>58</xdr:row>
      <xdr:rowOff>0</xdr:rowOff>
    </xdr:from>
    <xdr:to>
      <xdr:col>39</xdr:col>
      <xdr:colOff>246529</xdr:colOff>
      <xdr:row>75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509867</xdr:colOff>
      <xdr:row>17</xdr:row>
      <xdr:rowOff>67243</xdr:rowOff>
    </xdr:from>
    <xdr:to>
      <xdr:col>19</xdr:col>
      <xdr:colOff>571500</xdr:colOff>
      <xdr:row>37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812425</xdr:colOff>
      <xdr:row>17</xdr:row>
      <xdr:rowOff>0</xdr:rowOff>
    </xdr:from>
    <xdr:to>
      <xdr:col>13</xdr:col>
      <xdr:colOff>22411</xdr:colOff>
      <xdr:row>36</xdr:row>
      <xdr:rowOff>156874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614362</xdr:colOff>
      <xdr:row>38</xdr:row>
      <xdr:rowOff>28575</xdr:rowOff>
    </xdr:from>
    <xdr:to>
      <xdr:col>18</xdr:col>
      <xdr:colOff>100012</xdr:colOff>
      <xdr:row>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733425</xdr:colOff>
      <xdr:row>37</xdr:row>
      <xdr:rowOff>57150</xdr:rowOff>
    </xdr:from>
    <xdr:to>
      <xdr:col>24</xdr:col>
      <xdr:colOff>457200</xdr:colOff>
      <xdr:row>54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57</xdr:row>
      <xdr:rowOff>0</xdr:rowOff>
    </xdr:from>
    <xdr:to>
      <xdr:col>18</xdr:col>
      <xdr:colOff>333375</xdr:colOff>
      <xdr:row>73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Normal="100" workbookViewId="0">
      <selection activeCell="C10" sqref="C10"/>
    </sheetView>
  </sheetViews>
  <sheetFormatPr defaultRowHeight="15" x14ac:dyDescent="0.25"/>
  <cols>
    <col min="1" max="2" width="13.85546875" customWidth="1"/>
    <col min="3" max="3" width="12.140625" customWidth="1"/>
  </cols>
  <sheetData>
    <row r="1" spans="1:3" x14ac:dyDescent="0.25">
      <c r="A1" t="s">
        <v>0</v>
      </c>
      <c r="C1" s="23" t="str">
        <f>trilogiq_IS!C2</f>
        <v>Trilogiq</v>
      </c>
    </row>
    <row r="2" spans="1:3" x14ac:dyDescent="0.25">
      <c r="A2" t="s">
        <v>1</v>
      </c>
      <c r="C2" s="23" t="s">
        <v>312</v>
      </c>
    </row>
    <row r="3" spans="1:3" x14ac:dyDescent="0.25">
      <c r="A3" t="s">
        <v>2</v>
      </c>
      <c r="C3" s="33" t="s">
        <v>313</v>
      </c>
    </row>
    <row r="4" spans="1:3" x14ac:dyDescent="0.25">
      <c r="A4" t="s">
        <v>3</v>
      </c>
      <c r="C4" s="33" t="s">
        <v>314</v>
      </c>
    </row>
    <row r="5" spans="1:3" x14ac:dyDescent="0.25">
      <c r="A5" t="s">
        <v>4</v>
      </c>
      <c r="C5" s="33" t="s">
        <v>315</v>
      </c>
    </row>
    <row r="6" spans="1:3" x14ac:dyDescent="0.25">
      <c r="A6" t="s">
        <v>5</v>
      </c>
      <c r="C6" s="71">
        <v>5.0999999999999996</v>
      </c>
    </row>
    <row r="7" spans="1:3" x14ac:dyDescent="0.25">
      <c r="A7" t="s">
        <v>6</v>
      </c>
      <c r="C7" s="70">
        <v>22.4</v>
      </c>
    </row>
    <row r="8" spans="1:3" x14ac:dyDescent="0.25">
      <c r="A8" t="s">
        <v>8</v>
      </c>
      <c r="C8" s="31">
        <f>ncav!AQ46</f>
        <v>0.64788273615635161</v>
      </c>
    </row>
    <row r="9" spans="1:3" x14ac:dyDescent="0.25">
      <c r="A9" t="s">
        <v>9</v>
      </c>
      <c r="C9">
        <v>1992</v>
      </c>
    </row>
    <row r="10" spans="1:3" x14ac:dyDescent="0.25">
      <c r="A10" t="s">
        <v>10</v>
      </c>
      <c r="C10" t="s">
        <v>316</v>
      </c>
    </row>
    <row r="11" spans="1:3" x14ac:dyDescent="0.25">
      <c r="A11" t="s">
        <v>11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4"/>
  <sheetViews>
    <sheetView zoomScale="70" zoomScaleNormal="70" workbookViewId="0">
      <pane xSplit="2" ySplit="1" topLeftCell="AB5" activePane="bottomRight" state="frozen"/>
      <selection pane="topRight" activeCell="C1" sqref="C1"/>
      <selection pane="bottomLeft" activeCell="A2" sqref="A2"/>
      <selection pane="bottomRight" activeCell="AN36" sqref="AN36"/>
    </sheetView>
  </sheetViews>
  <sheetFormatPr defaultColWidth="9.140625" defaultRowHeight="12.75" x14ac:dyDescent="0.2"/>
  <cols>
    <col min="1" max="1" width="2.7109375" style="6" customWidth="1"/>
    <col min="2" max="2" width="21.7109375" style="6" customWidth="1"/>
    <col min="3" max="43" width="12.7109375" style="6" customWidth="1"/>
    <col min="44" max="45" width="9.140625" style="6" customWidth="1"/>
    <col min="46" max="16384" width="9.140625" style="6"/>
  </cols>
  <sheetData>
    <row r="1" spans="1:43" ht="15" customHeight="1" x14ac:dyDescent="0.25">
      <c r="D1" s="41" t="s">
        <v>12</v>
      </c>
      <c r="E1" s="41" t="s">
        <v>13</v>
      </c>
      <c r="F1" s="41" t="s">
        <v>14</v>
      </c>
      <c r="G1" s="41" t="s">
        <v>15</v>
      </c>
      <c r="H1" s="41" t="s">
        <v>16</v>
      </c>
      <c r="I1" s="41" t="s">
        <v>17</v>
      </c>
      <c r="J1" s="41" t="s">
        <v>18</v>
      </c>
      <c r="K1" s="41" t="s">
        <v>19</v>
      </c>
      <c r="L1" s="41" t="s">
        <v>20</v>
      </c>
      <c r="M1" s="41" t="s">
        <v>21</v>
      </c>
      <c r="N1" s="41" t="s">
        <v>22</v>
      </c>
      <c r="O1" s="41" t="s">
        <v>23</v>
      </c>
      <c r="P1" s="41" t="s">
        <v>24</v>
      </c>
      <c r="Q1" s="41" t="s">
        <v>25</v>
      </c>
      <c r="R1" s="41" t="s">
        <v>26</v>
      </c>
      <c r="S1" s="41" t="s">
        <v>27</v>
      </c>
      <c r="T1" s="41" t="s">
        <v>28</v>
      </c>
      <c r="U1" s="41" t="s">
        <v>29</v>
      </c>
      <c r="V1" s="41" t="s">
        <v>30</v>
      </c>
      <c r="W1" s="4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 ht="12.75" customHeight="1" x14ac:dyDescent="0.25">
      <c r="A2" s="6" t="s">
        <v>52</v>
      </c>
      <c r="D2" s="7">
        <f>_xlfn.NUMBERVALUE(trilogiq_bs!D12)+_xlfn.NUMBERVALUE(trilogiq_bs!D13)</f>
        <v>20.399999999999999</v>
      </c>
      <c r="E2" s="7">
        <f>_xlfn.NUMBERVALUE(trilogiq_bs!E12)+_xlfn.NUMBERVALUE(trilogiq_bs!E13)</f>
        <v>20.399999999999999</v>
      </c>
      <c r="F2" s="7">
        <f>_xlfn.NUMBERVALUE(trilogiq_bs!F12)+_xlfn.NUMBERVALUE(trilogiq_bs!F13)</f>
        <v>20.6</v>
      </c>
      <c r="G2" s="7">
        <f>_xlfn.NUMBERVALUE(trilogiq_bs!G12)+_xlfn.NUMBERVALUE(trilogiq_bs!G13)</f>
        <v>20.6</v>
      </c>
      <c r="H2" s="7">
        <f>_xlfn.NUMBERVALUE(trilogiq_bs!H12)+_xlfn.NUMBERVALUE(trilogiq_bs!H13)</f>
        <v>20.2</v>
      </c>
      <c r="I2" s="7">
        <f>_xlfn.NUMBERVALUE(trilogiq_bs!I12)+_xlfn.NUMBERVALUE(trilogiq_bs!I13)</f>
        <v>20.2</v>
      </c>
      <c r="J2" s="7">
        <f>_xlfn.NUMBERVALUE(trilogiq_bs!J12)+_xlfn.NUMBERVALUE(trilogiq_bs!J13)</f>
        <v>17.600000000000001</v>
      </c>
      <c r="K2" s="7">
        <f>_xlfn.NUMBERVALUE(trilogiq_bs!K12)+_xlfn.NUMBERVALUE(trilogiq_bs!K13)</f>
        <v>17.600000000000001</v>
      </c>
      <c r="L2" s="7">
        <f>_xlfn.NUMBERVALUE(trilogiq_bs!L12)+_xlfn.NUMBERVALUE(trilogiq_bs!L13)</f>
        <v>18.399999999999999</v>
      </c>
      <c r="M2" s="7">
        <f>_xlfn.NUMBERVALUE(trilogiq_bs!M12)+_xlfn.NUMBERVALUE(trilogiq_bs!M13)</f>
        <v>18.399999999999999</v>
      </c>
      <c r="N2" s="7">
        <f>_xlfn.NUMBERVALUE(trilogiq_bs!N12)+_xlfn.NUMBERVALUE(trilogiq_bs!N13)</f>
        <v>15.6</v>
      </c>
      <c r="O2" s="7">
        <f>_xlfn.NUMBERVALUE(trilogiq_bs!O12)+_xlfn.NUMBERVALUE(trilogiq_bs!O13)</f>
        <v>15.6</v>
      </c>
      <c r="P2" s="7">
        <f>_xlfn.NUMBERVALUE(trilogiq_bs!P12)+_xlfn.NUMBERVALUE(trilogiq_bs!P13)</f>
        <v>0</v>
      </c>
      <c r="Q2" s="7">
        <f>_xlfn.NUMBERVALUE(trilogiq_bs!Q12)+_xlfn.NUMBERVALUE(trilogiq_bs!Q13)</f>
        <v>0</v>
      </c>
      <c r="R2" s="7">
        <f>_xlfn.NUMBERVALUE(trilogiq_bs!R12)+_xlfn.NUMBERVALUE(trilogiq_bs!R13)</f>
        <v>16.3</v>
      </c>
      <c r="S2" s="7">
        <f>_xlfn.NUMBERVALUE(trilogiq_bs!S12)+_xlfn.NUMBERVALUE(trilogiq_bs!S13)</f>
        <v>16.3</v>
      </c>
      <c r="T2" s="7">
        <f>_xlfn.NUMBERVALUE(trilogiq_bs!T12)+_xlfn.NUMBERVALUE(trilogiq_bs!T13)</f>
        <v>17.3</v>
      </c>
      <c r="U2" s="7">
        <f>_xlfn.NUMBERVALUE(trilogiq_bs!U12)+_xlfn.NUMBERVALUE(trilogiq_bs!U13)</f>
        <v>17.3</v>
      </c>
      <c r="V2" s="7">
        <f>_xlfn.NUMBERVALUE(trilogiq_bs!V12)+_xlfn.NUMBERVALUE(trilogiq_bs!V13)</f>
        <v>18.5</v>
      </c>
      <c r="W2" s="7">
        <f>_xlfn.NUMBERVALUE(trilogiq_bs!W12)+_xlfn.NUMBERVALUE(trilogiq_bs!W13)</f>
        <v>18.5</v>
      </c>
      <c r="X2">
        <f>_xlfn.NUMBERVALUE(trilogiq_bs!X12)+_xlfn.NUMBERVALUE(trilogiq_bs!X13)</f>
        <v>18.2</v>
      </c>
      <c r="Y2">
        <f>_xlfn.NUMBERVALUE(trilogiq_bs!Y12)+_xlfn.NUMBERVALUE(trilogiq_bs!Y13)</f>
        <v>18.2</v>
      </c>
      <c r="Z2">
        <f>_xlfn.NUMBERVALUE(trilogiq_bs!Z12)+_xlfn.NUMBERVALUE(trilogiq_bs!Z13)</f>
        <v>0</v>
      </c>
      <c r="AA2">
        <f>_xlfn.NUMBERVALUE(trilogiq_bs!AA12)+_xlfn.NUMBERVALUE(trilogiq_bs!AA13)</f>
        <v>0</v>
      </c>
      <c r="AB2">
        <f>_xlfn.NUMBERVALUE(trilogiq_bs!AB12)+_xlfn.NUMBERVALUE(trilogiq_bs!AB13)</f>
        <v>18.600000000000001</v>
      </c>
      <c r="AC2">
        <f>_xlfn.NUMBERVALUE(trilogiq_bs!AC12)+_xlfn.NUMBERVALUE(trilogiq_bs!AC13)</f>
        <v>18.600000000000001</v>
      </c>
      <c r="AD2">
        <f>_xlfn.NUMBERVALUE(trilogiq_bs!AD12)+_xlfn.NUMBERVALUE(trilogiq_bs!AD13)</f>
        <v>0</v>
      </c>
      <c r="AE2">
        <f>_xlfn.NUMBERVALUE(trilogiq_bs!AE12)+_xlfn.NUMBERVALUE(trilogiq_bs!AE13)</f>
        <v>0</v>
      </c>
      <c r="AF2">
        <f>_xlfn.NUMBERVALUE(trilogiq_bs!AF12)+_xlfn.NUMBERVALUE(trilogiq_bs!AF13)</f>
        <v>19.600000000000001</v>
      </c>
      <c r="AG2">
        <f>_xlfn.NUMBERVALUE(trilogiq_bs!AG12)+_xlfn.NUMBERVALUE(trilogiq_bs!AG13)</f>
        <v>19.600000000000001</v>
      </c>
      <c r="AH2">
        <f>_xlfn.NUMBERVALUE(trilogiq_bs!AH12)+_xlfn.NUMBERVALUE(trilogiq_bs!AH13)</f>
        <v>20.6</v>
      </c>
      <c r="AI2">
        <f>_xlfn.NUMBERVALUE(trilogiq_bs!AI12)+_xlfn.NUMBERVALUE(trilogiq_bs!AI13)</f>
        <v>20.6</v>
      </c>
      <c r="AJ2">
        <f>_xlfn.NUMBERVALUE(trilogiq_bs!AJ12)+_xlfn.NUMBERVALUE(trilogiq_bs!AJ13)</f>
        <v>21.799999999999997</v>
      </c>
      <c r="AK2">
        <f>_xlfn.NUMBERVALUE(trilogiq_bs!AK12)+_xlfn.NUMBERVALUE(trilogiq_bs!AK13)</f>
        <v>21.799999999999997</v>
      </c>
      <c r="AL2">
        <f>_xlfn.NUMBERVALUE(trilogiq_bs!AL12)+_xlfn.NUMBERVALUE(trilogiq_bs!AL13)</f>
        <v>23</v>
      </c>
      <c r="AM2">
        <f>_xlfn.NUMBERVALUE(trilogiq_bs!AM12)+_xlfn.NUMBERVALUE(trilogiq_bs!AM13)</f>
        <v>23</v>
      </c>
      <c r="AN2">
        <f>_xlfn.NUMBERVALUE(trilogiq_bs!AN12)+_xlfn.NUMBERVALUE(trilogiq_bs!AN13)</f>
        <v>24.1</v>
      </c>
      <c r="AO2">
        <f>_xlfn.NUMBERVALUE(trilogiq_bs!AO12)+_xlfn.NUMBERVALUE(trilogiq_bs!AO13)</f>
        <v>24.1</v>
      </c>
      <c r="AP2">
        <f>_xlfn.NUMBERVALUE(trilogiq_bs!AP12)+_xlfn.NUMBERVALUE(trilogiq_bs!AP13)</f>
        <v>25.2</v>
      </c>
      <c r="AQ2">
        <f>_xlfn.NUMBERVALUE(trilogiq_bs!AQ12)+_xlfn.NUMBERVALUE(trilogiq_bs!AQ13)</f>
        <v>25.2</v>
      </c>
    </row>
    <row r="3" spans="1:43" ht="12.75" customHeight="1" x14ac:dyDescent="0.25">
      <c r="A3" s="6" t="s">
        <v>53</v>
      </c>
      <c r="C3" s="42">
        <v>0.8</v>
      </c>
      <c r="D3" s="7">
        <f>_xlfn.NUMBERVALUE(trilogiq_bs!D14)</f>
        <v>12.8</v>
      </c>
      <c r="E3" s="7">
        <f>_xlfn.NUMBERVALUE(trilogiq_bs!E14)</f>
        <v>12.8</v>
      </c>
      <c r="F3" s="7">
        <f>_xlfn.NUMBERVALUE(trilogiq_bs!F14)</f>
        <v>9</v>
      </c>
      <c r="G3" s="7">
        <f>_xlfn.NUMBERVALUE(trilogiq_bs!G14)</f>
        <v>9</v>
      </c>
      <c r="H3" s="7">
        <f>_xlfn.NUMBERVALUE(trilogiq_bs!H14)</f>
        <v>8.1999999999999993</v>
      </c>
      <c r="I3" s="7">
        <f>_xlfn.NUMBERVALUE(trilogiq_bs!I14)</f>
        <v>8.1999999999999993</v>
      </c>
      <c r="J3" s="7">
        <f>_xlfn.NUMBERVALUE(trilogiq_bs!J14)</f>
        <v>7.8</v>
      </c>
      <c r="K3" s="7">
        <f>_xlfn.NUMBERVALUE(trilogiq_bs!K14)</f>
        <v>7.8</v>
      </c>
      <c r="L3" s="7">
        <f>_xlfn.NUMBERVALUE(trilogiq_bs!L14)</f>
        <v>7.2</v>
      </c>
      <c r="M3" s="7">
        <f>_xlfn.NUMBERVALUE(trilogiq_bs!M14)</f>
        <v>7.2</v>
      </c>
      <c r="N3" s="7">
        <f>_xlfn.NUMBERVALUE(trilogiq_bs!N14)</f>
        <v>7.3</v>
      </c>
      <c r="O3" s="7">
        <f>_xlfn.NUMBERVALUE(trilogiq_bs!O14)</f>
        <v>7.3</v>
      </c>
      <c r="P3" s="7">
        <f>_xlfn.NUMBERVALUE(trilogiq_bs!P14)</f>
        <v>0</v>
      </c>
      <c r="Q3" s="7">
        <f>_xlfn.NUMBERVALUE(trilogiq_bs!Q14)</f>
        <v>0</v>
      </c>
      <c r="R3" s="7">
        <f>_xlfn.NUMBERVALUE(trilogiq_bs!R14)</f>
        <v>6</v>
      </c>
      <c r="S3" s="7">
        <f>_xlfn.NUMBERVALUE(trilogiq_bs!S14)</f>
        <v>6</v>
      </c>
      <c r="T3" s="7">
        <f>_xlfn.NUMBERVALUE(trilogiq_bs!T14)</f>
        <v>5.7</v>
      </c>
      <c r="U3" s="7">
        <f>_xlfn.NUMBERVALUE(trilogiq_bs!U14)</f>
        <v>5.7</v>
      </c>
      <c r="V3" s="7">
        <f>_xlfn.NUMBERVALUE(trilogiq_bs!V14)</f>
        <v>4.5999999999999996</v>
      </c>
      <c r="W3" s="7">
        <f>_xlfn.NUMBERVALUE(trilogiq_bs!W14)</f>
        <v>4.5999999999999996</v>
      </c>
      <c r="X3">
        <f>_xlfn.NUMBERVALUE(trilogiq_bs!X14)</f>
        <v>5.2</v>
      </c>
      <c r="Y3">
        <f>_xlfn.NUMBERVALUE(trilogiq_bs!Y14)</f>
        <v>5.2</v>
      </c>
      <c r="Z3">
        <f>_xlfn.NUMBERVALUE(trilogiq_bs!Z14)</f>
        <v>0</v>
      </c>
      <c r="AA3">
        <f>_xlfn.NUMBERVALUE(trilogiq_bs!AA14)</f>
        <v>0</v>
      </c>
      <c r="AB3">
        <f>_xlfn.NUMBERVALUE(trilogiq_bs!AB14)</f>
        <v>4.9000000000000004</v>
      </c>
      <c r="AC3">
        <f>_xlfn.NUMBERVALUE(trilogiq_bs!AC14)</f>
        <v>4.9000000000000004</v>
      </c>
      <c r="AD3">
        <f>_xlfn.NUMBERVALUE(trilogiq_bs!AD14)</f>
        <v>0</v>
      </c>
      <c r="AE3">
        <f>_xlfn.NUMBERVALUE(trilogiq_bs!AE14)</f>
        <v>0</v>
      </c>
      <c r="AF3">
        <f>_xlfn.NUMBERVALUE(trilogiq_bs!AF14)</f>
        <v>4.8</v>
      </c>
      <c r="AG3">
        <f>_xlfn.NUMBERVALUE(trilogiq_bs!AG14)</f>
        <v>4.8</v>
      </c>
      <c r="AH3">
        <f>_xlfn.NUMBERVALUE(trilogiq_bs!AH14)</f>
        <v>4.5999999999999996</v>
      </c>
      <c r="AI3">
        <f>_xlfn.NUMBERVALUE(trilogiq_bs!AI14)</f>
        <v>4.5999999999999996</v>
      </c>
      <c r="AJ3">
        <f>_xlfn.NUMBERVALUE(trilogiq_bs!AJ14)</f>
        <v>4.2</v>
      </c>
      <c r="AK3">
        <f>_xlfn.NUMBERVALUE(trilogiq_bs!AK14)</f>
        <v>4.2</v>
      </c>
      <c r="AL3">
        <f>_xlfn.NUMBERVALUE(trilogiq_bs!AL14)</f>
        <v>5.0999999999999996</v>
      </c>
      <c r="AM3">
        <f>_xlfn.NUMBERVALUE(trilogiq_bs!AM14)</f>
        <v>5.0999999999999996</v>
      </c>
      <c r="AN3">
        <f>_xlfn.NUMBERVALUE(trilogiq_bs!AN14)</f>
        <v>4.7</v>
      </c>
      <c r="AO3">
        <f>_xlfn.NUMBERVALUE(trilogiq_bs!AO14)</f>
        <v>4.7</v>
      </c>
      <c r="AP3">
        <f>_xlfn.NUMBERVALUE(trilogiq_bs!AP14)</f>
        <v>4.0999999999999996</v>
      </c>
      <c r="AQ3">
        <f>_xlfn.NUMBERVALUE(trilogiq_bs!AQ14)</f>
        <v>4.0999999999999996</v>
      </c>
    </row>
    <row r="4" spans="1:43" ht="12.75" customHeight="1" x14ac:dyDescent="0.25">
      <c r="A4" s="6" t="s">
        <v>54</v>
      </c>
      <c r="C4" s="42">
        <v>0.6</v>
      </c>
      <c r="D4" s="7">
        <f>_xlfn.NUMBERVALUE(trilogiq_bs!D15)</f>
        <v>9</v>
      </c>
      <c r="E4" s="7">
        <f>_xlfn.NUMBERVALUE(trilogiq_bs!E15)</f>
        <v>9</v>
      </c>
      <c r="F4" s="7">
        <f>_xlfn.NUMBERVALUE(trilogiq_bs!F15)</f>
        <v>7</v>
      </c>
      <c r="G4" s="7">
        <f>_xlfn.NUMBERVALUE(trilogiq_bs!G15)</f>
        <v>7</v>
      </c>
      <c r="H4" s="7">
        <f>_xlfn.NUMBERVALUE(trilogiq_bs!H15)</f>
        <v>7.6</v>
      </c>
      <c r="I4" s="7">
        <f>_xlfn.NUMBERVALUE(trilogiq_bs!I15)</f>
        <v>7.6</v>
      </c>
      <c r="J4" s="7">
        <f>_xlfn.NUMBERVALUE(trilogiq_bs!J15)</f>
        <v>7.2</v>
      </c>
      <c r="K4" s="7">
        <f>_xlfn.NUMBERVALUE(trilogiq_bs!K15)</f>
        <v>7.2</v>
      </c>
      <c r="L4" s="7">
        <f>_xlfn.NUMBERVALUE(trilogiq_bs!L15)</f>
        <v>6.9</v>
      </c>
      <c r="M4" s="7">
        <f>_xlfn.NUMBERVALUE(trilogiq_bs!M15)</f>
        <v>6.9</v>
      </c>
      <c r="N4" s="7">
        <f>_xlfn.NUMBERVALUE(trilogiq_bs!N15)</f>
        <v>6.8</v>
      </c>
      <c r="O4" s="7">
        <f>_xlfn.NUMBERVALUE(trilogiq_bs!O15)</f>
        <v>6.8</v>
      </c>
      <c r="P4" s="7">
        <f>_xlfn.NUMBERVALUE(trilogiq_bs!P15)</f>
        <v>0</v>
      </c>
      <c r="Q4" s="7">
        <f>_xlfn.NUMBERVALUE(trilogiq_bs!Q15)</f>
        <v>0</v>
      </c>
      <c r="R4" s="7">
        <f>_xlfn.NUMBERVALUE(trilogiq_bs!R15)</f>
        <v>5.5</v>
      </c>
      <c r="S4" s="7">
        <f>_xlfn.NUMBERVALUE(trilogiq_bs!S15)</f>
        <v>5.5</v>
      </c>
      <c r="T4" s="7">
        <f>_xlfn.NUMBERVALUE(trilogiq_bs!T15)</f>
        <v>4.9000000000000004</v>
      </c>
      <c r="U4" s="7">
        <f>_xlfn.NUMBERVALUE(trilogiq_bs!U15)</f>
        <v>4.9000000000000004</v>
      </c>
      <c r="V4" s="7">
        <f>_xlfn.NUMBERVALUE(trilogiq_bs!V15)</f>
        <v>4.0999999999999996</v>
      </c>
      <c r="W4" s="7">
        <f>_xlfn.NUMBERVALUE(trilogiq_bs!W15)</f>
        <v>4.0999999999999996</v>
      </c>
      <c r="X4">
        <f>_xlfn.NUMBERVALUE(trilogiq_bs!X15)</f>
        <v>3.9</v>
      </c>
      <c r="Y4">
        <f>_xlfn.NUMBERVALUE(trilogiq_bs!Y15)</f>
        <v>3.9</v>
      </c>
      <c r="Z4">
        <f>_xlfn.NUMBERVALUE(trilogiq_bs!Z15)</f>
        <v>0</v>
      </c>
      <c r="AA4">
        <f>_xlfn.NUMBERVALUE(trilogiq_bs!AA15)</f>
        <v>0</v>
      </c>
      <c r="AB4">
        <f>_xlfn.NUMBERVALUE(trilogiq_bs!AB15)</f>
        <v>5.0999999999999996</v>
      </c>
      <c r="AC4">
        <f>_xlfn.NUMBERVALUE(trilogiq_bs!AC15)</f>
        <v>5.0999999999999996</v>
      </c>
      <c r="AD4">
        <f>_xlfn.NUMBERVALUE(trilogiq_bs!AD15)</f>
        <v>0</v>
      </c>
      <c r="AE4">
        <f>_xlfn.NUMBERVALUE(trilogiq_bs!AE15)</f>
        <v>0</v>
      </c>
      <c r="AF4">
        <f>_xlfn.NUMBERVALUE(trilogiq_bs!AF15)</f>
        <v>5.6</v>
      </c>
      <c r="AG4">
        <f>_xlfn.NUMBERVALUE(trilogiq_bs!AG15)</f>
        <v>5.6</v>
      </c>
      <c r="AH4">
        <f>_xlfn.NUMBERVALUE(trilogiq_bs!AH15)</f>
        <v>4.5999999999999996</v>
      </c>
      <c r="AI4">
        <f>_xlfn.NUMBERVALUE(trilogiq_bs!AI15)</f>
        <v>4.5999999999999996</v>
      </c>
      <c r="AJ4">
        <f>_xlfn.NUMBERVALUE(trilogiq_bs!AJ15)</f>
        <v>4.5</v>
      </c>
      <c r="AK4">
        <f>_xlfn.NUMBERVALUE(trilogiq_bs!AK15)</f>
        <v>4.5</v>
      </c>
      <c r="AL4">
        <f>_xlfn.NUMBERVALUE(trilogiq_bs!AL15)</f>
        <v>4.2</v>
      </c>
      <c r="AM4">
        <f>_xlfn.NUMBERVALUE(trilogiq_bs!AM15)</f>
        <v>4.2</v>
      </c>
      <c r="AN4">
        <f>_xlfn.NUMBERVALUE(trilogiq_bs!AN15)</f>
        <v>4.2</v>
      </c>
      <c r="AO4">
        <f>_xlfn.NUMBERVALUE(trilogiq_bs!AO15)</f>
        <v>4.2</v>
      </c>
      <c r="AP4">
        <f>_xlfn.NUMBERVALUE(trilogiq_bs!AP15)</f>
        <v>4</v>
      </c>
      <c r="AQ4">
        <f>_xlfn.NUMBERVALUE(trilogiq_bs!AQ15)</f>
        <v>4</v>
      </c>
    </row>
    <row r="5" spans="1:43" ht="15" customHeight="1" x14ac:dyDescent="0.25">
      <c r="A5" s="6" t="s">
        <v>55</v>
      </c>
      <c r="D5" s="7">
        <f>_xlfn.NUMBERVALUE(trilogiq_bs!D18)</f>
        <v>45.6</v>
      </c>
      <c r="E5" s="7">
        <f>_xlfn.NUMBERVALUE(trilogiq_bs!E18)</f>
        <v>45.6</v>
      </c>
      <c r="F5" s="7">
        <f>_xlfn.NUMBERVALUE(trilogiq_bs!F18)</f>
        <v>41.1</v>
      </c>
      <c r="G5" s="7">
        <f>_xlfn.NUMBERVALUE(trilogiq_bs!G18)</f>
        <v>41.1</v>
      </c>
      <c r="H5" s="7">
        <f>_xlfn.NUMBERVALUE(trilogiq_bs!H18)</f>
        <v>40.5</v>
      </c>
      <c r="I5" s="7">
        <f>_xlfn.NUMBERVALUE(trilogiq_bs!I18)</f>
        <v>40.5</v>
      </c>
      <c r="J5" s="7">
        <f>_xlfn.NUMBERVALUE(trilogiq_bs!J18)</f>
        <v>36.700000000000003</v>
      </c>
      <c r="K5" s="7">
        <f>_xlfn.NUMBERVALUE(trilogiq_bs!K18)</f>
        <v>36.700000000000003</v>
      </c>
      <c r="L5" s="7">
        <f>_xlfn.NUMBERVALUE(trilogiq_bs!L18)</f>
        <v>36.6</v>
      </c>
      <c r="M5" s="7">
        <f>_xlfn.NUMBERVALUE(trilogiq_bs!M18)</f>
        <v>36.6</v>
      </c>
      <c r="N5" s="7">
        <f>_xlfn.NUMBERVALUE(trilogiq_bs!N18)</f>
        <v>33.4</v>
      </c>
      <c r="O5" s="7">
        <f>_xlfn.NUMBERVALUE(trilogiq_bs!O18)</f>
        <v>33.4</v>
      </c>
      <c r="P5" s="7">
        <f>_xlfn.NUMBERVALUE(trilogiq_bs!P18)</f>
        <v>0</v>
      </c>
      <c r="Q5" s="7">
        <f>_xlfn.NUMBERVALUE(trilogiq_bs!Q18)</f>
        <v>0</v>
      </c>
      <c r="R5" s="7">
        <f>_xlfn.NUMBERVALUE(trilogiq_bs!R18)</f>
        <v>30.6</v>
      </c>
      <c r="S5" s="7">
        <f>_xlfn.NUMBERVALUE(trilogiq_bs!S18)</f>
        <v>30.6</v>
      </c>
      <c r="T5" s="7">
        <f>_xlfn.NUMBERVALUE(trilogiq_bs!T18)</f>
        <v>30.4</v>
      </c>
      <c r="U5" s="7">
        <f>_xlfn.NUMBERVALUE(trilogiq_bs!U18)</f>
        <v>30.4</v>
      </c>
      <c r="V5" s="7">
        <f>_xlfn.NUMBERVALUE(trilogiq_bs!V18)</f>
        <v>28.5</v>
      </c>
      <c r="W5" s="7">
        <f>_xlfn.NUMBERVALUE(trilogiq_bs!W18)</f>
        <v>28.5</v>
      </c>
      <c r="X5">
        <f>_xlfn.NUMBERVALUE(trilogiq_bs!X18)</f>
        <v>28.6</v>
      </c>
      <c r="Y5">
        <f>_xlfn.NUMBERVALUE(trilogiq_bs!Y18)</f>
        <v>28.6</v>
      </c>
      <c r="Z5">
        <f>_xlfn.NUMBERVALUE(trilogiq_bs!Z18)</f>
        <v>0</v>
      </c>
      <c r="AA5">
        <f>_xlfn.NUMBERVALUE(trilogiq_bs!AA18)</f>
        <v>0</v>
      </c>
      <c r="AB5">
        <f>_xlfn.NUMBERVALUE(trilogiq_bs!AB18)</f>
        <v>30.1</v>
      </c>
      <c r="AC5">
        <f>_xlfn.NUMBERVALUE(trilogiq_bs!AC18)</f>
        <v>30.1</v>
      </c>
      <c r="AD5">
        <f>_xlfn.NUMBERVALUE(trilogiq_bs!AD18)</f>
        <v>0</v>
      </c>
      <c r="AE5">
        <f>_xlfn.NUMBERVALUE(trilogiq_bs!AE18)</f>
        <v>0</v>
      </c>
      <c r="AF5">
        <f>_xlfn.NUMBERVALUE(trilogiq_bs!AF18)</f>
        <v>32.1</v>
      </c>
      <c r="AG5">
        <f>_xlfn.NUMBERVALUE(trilogiq_bs!AG18)</f>
        <v>32.1</v>
      </c>
      <c r="AH5">
        <f>_xlfn.NUMBERVALUE(trilogiq_bs!AH18)</f>
        <v>31.6</v>
      </c>
      <c r="AI5">
        <f>_xlfn.NUMBERVALUE(trilogiq_bs!AI18)</f>
        <v>31.6</v>
      </c>
      <c r="AJ5">
        <f>_xlfn.NUMBERVALUE(trilogiq_bs!AJ18)</f>
        <v>32.299999999999997</v>
      </c>
      <c r="AK5">
        <f>_xlfn.NUMBERVALUE(trilogiq_bs!AK18)</f>
        <v>32.299999999999997</v>
      </c>
      <c r="AL5">
        <f>_xlfn.NUMBERVALUE(trilogiq_bs!AL18)</f>
        <v>34</v>
      </c>
      <c r="AM5">
        <f>_xlfn.NUMBERVALUE(trilogiq_bs!AM18)</f>
        <v>34</v>
      </c>
      <c r="AN5">
        <f>_xlfn.NUMBERVALUE(trilogiq_bs!AN18)</f>
        <v>34.4</v>
      </c>
      <c r="AO5">
        <f>_xlfn.NUMBERVALUE(trilogiq_bs!AO18)</f>
        <v>34.4</v>
      </c>
      <c r="AP5">
        <f>_xlfn.NUMBERVALUE(trilogiq_bs!AP18)</f>
        <v>34.700000000000003</v>
      </c>
      <c r="AQ5">
        <f>_xlfn.NUMBERVALUE(trilogiq_bs!AQ18)</f>
        <v>34.700000000000003</v>
      </c>
    </row>
    <row r="6" spans="1:43" ht="15" customHeight="1" x14ac:dyDescent="0.25">
      <c r="A6" s="6" t="s">
        <v>56</v>
      </c>
      <c r="D6" s="8">
        <f t="shared" ref="D6:AQ6" si="0">D3*$C$3+$C$4*D4+D2</f>
        <v>36.04</v>
      </c>
      <c r="E6" s="8">
        <f t="shared" si="0"/>
        <v>36.04</v>
      </c>
      <c r="F6" s="8">
        <f t="shared" si="0"/>
        <v>32</v>
      </c>
      <c r="G6" s="8">
        <f t="shared" si="0"/>
        <v>32</v>
      </c>
      <c r="H6" s="8">
        <f t="shared" si="0"/>
        <v>31.32</v>
      </c>
      <c r="I6" s="8">
        <f t="shared" si="0"/>
        <v>31.32</v>
      </c>
      <c r="J6" s="8">
        <f t="shared" si="0"/>
        <v>28.160000000000004</v>
      </c>
      <c r="K6" s="8">
        <f t="shared" si="0"/>
        <v>28.160000000000004</v>
      </c>
      <c r="L6" s="8">
        <f t="shared" si="0"/>
        <v>28.299999999999997</v>
      </c>
      <c r="M6" s="8">
        <f t="shared" si="0"/>
        <v>28.299999999999997</v>
      </c>
      <c r="N6" s="8">
        <f t="shared" si="0"/>
        <v>25.52</v>
      </c>
      <c r="O6" s="8">
        <f t="shared" si="0"/>
        <v>25.52</v>
      </c>
      <c r="P6" s="8">
        <f t="shared" si="0"/>
        <v>0</v>
      </c>
      <c r="Q6" s="8">
        <f t="shared" si="0"/>
        <v>0</v>
      </c>
      <c r="R6" s="8">
        <f t="shared" si="0"/>
        <v>24.400000000000002</v>
      </c>
      <c r="S6" s="8">
        <f t="shared" si="0"/>
        <v>24.400000000000002</v>
      </c>
      <c r="T6" s="8">
        <f t="shared" si="0"/>
        <v>24.8</v>
      </c>
      <c r="U6" s="8">
        <f t="shared" si="0"/>
        <v>24.8</v>
      </c>
      <c r="V6" s="8">
        <f t="shared" si="0"/>
        <v>24.64</v>
      </c>
      <c r="W6" s="8">
        <f t="shared" si="0"/>
        <v>24.64</v>
      </c>
      <c r="X6">
        <f t="shared" si="0"/>
        <v>24.7</v>
      </c>
      <c r="Y6">
        <f t="shared" si="0"/>
        <v>24.7</v>
      </c>
      <c r="Z6">
        <f t="shared" si="0"/>
        <v>0</v>
      </c>
      <c r="AA6">
        <f t="shared" si="0"/>
        <v>0</v>
      </c>
      <c r="AB6">
        <f t="shared" si="0"/>
        <v>25.580000000000002</v>
      </c>
      <c r="AC6">
        <f t="shared" si="0"/>
        <v>25.580000000000002</v>
      </c>
      <c r="AD6">
        <f t="shared" si="0"/>
        <v>0</v>
      </c>
      <c r="AE6">
        <f t="shared" si="0"/>
        <v>0</v>
      </c>
      <c r="AF6">
        <f t="shared" si="0"/>
        <v>26.8</v>
      </c>
      <c r="AG6">
        <f t="shared" si="0"/>
        <v>26.8</v>
      </c>
      <c r="AH6">
        <f t="shared" si="0"/>
        <v>27.04</v>
      </c>
      <c r="AI6">
        <f t="shared" si="0"/>
        <v>27.04</v>
      </c>
      <c r="AJ6">
        <f t="shared" si="0"/>
        <v>27.86</v>
      </c>
      <c r="AK6">
        <f t="shared" si="0"/>
        <v>27.86</v>
      </c>
      <c r="AL6">
        <f t="shared" si="0"/>
        <v>29.6</v>
      </c>
      <c r="AM6">
        <f t="shared" si="0"/>
        <v>29.6</v>
      </c>
      <c r="AN6">
        <f t="shared" si="0"/>
        <v>30.380000000000003</v>
      </c>
      <c r="AO6">
        <f t="shared" si="0"/>
        <v>30.380000000000003</v>
      </c>
      <c r="AP6">
        <f t="shared" si="0"/>
        <v>30.88</v>
      </c>
      <c r="AQ6">
        <f t="shared" si="0"/>
        <v>30.88</v>
      </c>
    </row>
    <row r="7" spans="1:43" x14ac:dyDescent="0.2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43" x14ac:dyDescent="0.2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43" x14ac:dyDescent="0.2">
      <c r="A9" s="6" t="s">
        <v>57</v>
      </c>
      <c r="D9" s="7">
        <f>_xlfn.NUMBERVALUE(trilogiq_bs!D27)</f>
        <v>66.900000000000006</v>
      </c>
      <c r="E9" s="7">
        <f>_xlfn.NUMBERVALUE(trilogiq_bs!E27)</f>
        <v>66.900000000000006</v>
      </c>
      <c r="F9" s="7">
        <f>_xlfn.NUMBERVALUE(trilogiq_bs!F27)</f>
        <v>63.3</v>
      </c>
      <c r="G9" s="7">
        <f>_xlfn.NUMBERVALUE(trilogiq_bs!G27)</f>
        <v>63.3</v>
      </c>
      <c r="H9" s="7">
        <f>_xlfn.NUMBERVALUE(trilogiq_bs!H27)</f>
        <v>63.2</v>
      </c>
      <c r="I9" s="7">
        <f>_xlfn.NUMBERVALUE(trilogiq_bs!I27)</f>
        <v>63.2</v>
      </c>
      <c r="J9" s="7">
        <f>_xlfn.NUMBERVALUE(trilogiq_bs!J27)</f>
        <v>60.1</v>
      </c>
      <c r="K9" s="7">
        <f>_xlfn.NUMBERVALUE(trilogiq_bs!K27)</f>
        <v>60.1</v>
      </c>
      <c r="L9" s="7">
        <f>_xlfn.NUMBERVALUE(trilogiq_bs!L27)</f>
        <v>58.9</v>
      </c>
      <c r="M9" s="7">
        <f>_xlfn.NUMBERVALUE(trilogiq_bs!M27)</f>
        <v>58.9</v>
      </c>
      <c r="N9" s="7">
        <f>_xlfn.NUMBERVALUE(trilogiq_bs!N27)</f>
        <v>52</v>
      </c>
      <c r="O9" s="7">
        <f>_xlfn.NUMBERVALUE(trilogiq_bs!O27)</f>
        <v>52</v>
      </c>
      <c r="P9" s="7">
        <f>_xlfn.NUMBERVALUE(trilogiq_bs!P27)</f>
        <v>0</v>
      </c>
      <c r="Q9" s="7">
        <f>_xlfn.NUMBERVALUE(trilogiq_bs!Q27)</f>
        <v>0</v>
      </c>
      <c r="R9" s="7">
        <f>_xlfn.NUMBERVALUE(trilogiq_bs!R27)</f>
        <v>47.1</v>
      </c>
      <c r="S9" s="7">
        <f>_xlfn.NUMBERVALUE(trilogiq_bs!S27)</f>
        <v>47.1</v>
      </c>
      <c r="T9" s="7">
        <f>_xlfn.NUMBERVALUE(trilogiq_bs!T27)</f>
        <v>44.2</v>
      </c>
      <c r="U9" s="7">
        <f>_xlfn.NUMBERVALUE(trilogiq_bs!U27)</f>
        <v>44.2</v>
      </c>
      <c r="V9" s="7">
        <f>_xlfn.NUMBERVALUE(trilogiq_bs!V27)</f>
        <v>40.799999999999997</v>
      </c>
      <c r="W9" s="7">
        <f>_xlfn.NUMBERVALUE(trilogiq_bs!W27)</f>
        <v>40.799999999999997</v>
      </c>
      <c r="X9" s="7">
        <f>_xlfn.NUMBERVALUE(trilogiq_bs!X27)</f>
        <v>39.700000000000003</v>
      </c>
      <c r="Y9" s="7">
        <f>_xlfn.NUMBERVALUE(trilogiq_bs!Y27)</f>
        <v>39.700000000000003</v>
      </c>
      <c r="Z9" s="7">
        <f>_xlfn.NUMBERVALUE(trilogiq_bs!Z27)</f>
        <v>0</v>
      </c>
      <c r="AA9" s="7">
        <f>_xlfn.NUMBERVALUE(trilogiq_bs!AA27)</f>
        <v>0</v>
      </c>
      <c r="AB9" s="7">
        <f>_xlfn.NUMBERVALUE(trilogiq_bs!AB27)</f>
        <v>40</v>
      </c>
      <c r="AC9" s="7">
        <f>_xlfn.NUMBERVALUE(trilogiq_bs!AC27)</f>
        <v>40</v>
      </c>
      <c r="AD9" s="7">
        <f>_xlfn.NUMBERVALUE(trilogiq_bs!AD27)</f>
        <v>0</v>
      </c>
      <c r="AE9" s="7">
        <f>_xlfn.NUMBERVALUE(trilogiq_bs!AE27)</f>
        <v>0</v>
      </c>
      <c r="AF9" s="7">
        <f>_xlfn.NUMBERVALUE(trilogiq_bs!AF27)</f>
        <v>40.700000000000003</v>
      </c>
      <c r="AG9" s="7">
        <f>_xlfn.NUMBERVALUE(trilogiq_bs!AG27)</f>
        <v>40.700000000000003</v>
      </c>
      <c r="AH9" s="7">
        <f>_xlfn.NUMBERVALUE(trilogiq_bs!AH27)</f>
        <v>39.799999999999997</v>
      </c>
      <c r="AI9" s="7">
        <f>_xlfn.NUMBERVALUE(trilogiq_bs!AI27)</f>
        <v>39.799999999999997</v>
      </c>
      <c r="AJ9" s="7">
        <f>_xlfn.NUMBERVALUE(trilogiq_bs!AJ27)</f>
        <v>40.200000000000003</v>
      </c>
      <c r="AK9" s="7">
        <f>_xlfn.NUMBERVALUE(trilogiq_bs!AK27)</f>
        <v>40.200000000000003</v>
      </c>
      <c r="AL9" s="7">
        <f>_xlfn.NUMBERVALUE(trilogiq_bs!AL27)</f>
        <v>41.9</v>
      </c>
      <c r="AM9" s="7">
        <f>_xlfn.NUMBERVALUE(trilogiq_bs!AM27)</f>
        <v>41.9</v>
      </c>
      <c r="AN9" s="7">
        <f>_xlfn.NUMBERVALUE(trilogiq_bs!AN27)</f>
        <v>42</v>
      </c>
      <c r="AO9" s="7">
        <f>_xlfn.NUMBERVALUE(trilogiq_bs!AO27)</f>
        <v>42</v>
      </c>
      <c r="AP9" s="7">
        <f>_xlfn.NUMBERVALUE(trilogiq_bs!AP27)</f>
        <v>42</v>
      </c>
      <c r="AQ9" s="7">
        <f>_xlfn.NUMBERVALUE(trilogiq_bs!AQ27)</f>
        <v>42</v>
      </c>
    </row>
    <row r="10" spans="1:43" x14ac:dyDescent="0.2">
      <c r="A10" s="6" t="s">
        <v>58</v>
      </c>
      <c r="D10" s="7">
        <f>_xlfn.NUMBERVALUE(SUM(trilogiq_bs!D24:D25))</f>
        <v>0.2</v>
      </c>
      <c r="E10" s="7">
        <f>_xlfn.NUMBERVALUE(SUM(trilogiq_bs!E24:E25))</f>
        <v>0.2</v>
      </c>
      <c r="F10" s="7">
        <f>_xlfn.NUMBERVALUE(SUM(trilogiq_bs!F24:F25))</f>
        <v>0.2</v>
      </c>
      <c r="G10" s="7">
        <f>_xlfn.NUMBERVALUE(SUM(trilogiq_bs!G24:G25))</f>
        <v>0.2</v>
      </c>
      <c r="H10" s="7">
        <f>_xlfn.NUMBERVALUE(SUM(trilogiq_bs!H24:H25))</f>
        <v>0.2</v>
      </c>
      <c r="I10" s="7">
        <f>_xlfn.NUMBERVALUE(SUM(trilogiq_bs!I24:I25))</f>
        <v>0.2</v>
      </c>
      <c r="J10" s="7">
        <f>_xlfn.NUMBERVALUE(SUM(trilogiq_bs!J24:J25))</f>
        <v>0.6</v>
      </c>
      <c r="K10" s="7">
        <f>_xlfn.NUMBERVALUE(SUM(trilogiq_bs!K24:K25))</f>
        <v>0.6</v>
      </c>
      <c r="L10" s="7">
        <f>_xlfn.NUMBERVALUE(SUM(trilogiq_bs!L24:L25))</f>
        <v>1</v>
      </c>
      <c r="M10" s="7">
        <f>_xlfn.NUMBERVALUE(SUM(trilogiq_bs!M24:M25))</f>
        <v>1</v>
      </c>
      <c r="N10" s="7">
        <f>_xlfn.NUMBERVALUE(SUM(trilogiq_bs!N24:N25))</f>
        <v>0.7</v>
      </c>
      <c r="O10" s="7">
        <f>_xlfn.NUMBERVALUE(SUM(trilogiq_bs!O24:O25))</f>
        <v>0.7</v>
      </c>
      <c r="P10" s="7">
        <f>_xlfn.NUMBERVALUE(SUM(trilogiq_bs!P24:P25))</f>
        <v>0</v>
      </c>
      <c r="Q10" s="7">
        <f>_xlfn.NUMBERVALUE(SUM(trilogiq_bs!Q24:Q25))</f>
        <v>0</v>
      </c>
      <c r="R10" s="7">
        <f>_xlfn.NUMBERVALUE(SUM(trilogiq_bs!R24:R25))</f>
        <v>0.5</v>
      </c>
      <c r="S10" s="7">
        <f>_xlfn.NUMBERVALUE(SUM(trilogiq_bs!S24:S25))</f>
        <v>0.5</v>
      </c>
      <c r="T10" s="7">
        <f>_xlfn.NUMBERVALUE(SUM(trilogiq_bs!T24:T25))</f>
        <v>0.3</v>
      </c>
      <c r="U10" s="7">
        <f>_xlfn.NUMBERVALUE(SUM(trilogiq_bs!U24:U25))</f>
        <v>0.3</v>
      </c>
      <c r="V10" s="7">
        <f>_xlfn.NUMBERVALUE(SUM(trilogiq_bs!V24:V25))</f>
        <v>0.1</v>
      </c>
      <c r="W10" s="7">
        <f>_xlfn.NUMBERVALUE(SUM(trilogiq_bs!W24:W25))</f>
        <v>0.1</v>
      </c>
      <c r="X10" s="7">
        <f>_xlfn.NUMBERVALUE(SUM(trilogiq_bs!X24:X25))</f>
        <v>0.1</v>
      </c>
      <c r="Y10" s="7">
        <f>_xlfn.NUMBERVALUE(SUM(trilogiq_bs!Y24:Y25))</f>
        <v>0.1</v>
      </c>
      <c r="Z10" s="7">
        <f>_xlfn.NUMBERVALUE(SUM(trilogiq_bs!Z24:Z25))</f>
        <v>0</v>
      </c>
      <c r="AA10" s="7">
        <f>_xlfn.NUMBERVALUE(SUM(trilogiq_bs!AA24:AA25))</f>
        <v>0</v>
      </c>
      <c r="AB10" s="7">
        <f>_xlfn.NUMBERVALUE(SUM(trilogiq_bs!AB24:AB25))</f>
        <v>0</v>
      </c>
      <c r="AC10" s="7">
        <f>_xlfn.NUMBERVALUE(SUM(trilogiq_bs!AC24:AC25))</f>
        <v>0</v>
      </c>
      <c r="AD10" s="7">
        <f>_xlfn.NUMBERVALUE(SUM(trilogiq_bs!AD24:AD25))</f>
        <v>0</v>
      </c>
      <c r="AE10" s="7">
        <f>_xlfn.NUMBERVALUE(SUM(trilogiq_bs!AE24:AE25))</f>
        <v>0</v>
      </c>
      <c r="AF10" s="7">
        <f>_xlfn.NUMBERVALUE(SUM(trilogiq_bs!AF24:AF25))</f>
        <v>0</v>
      </c>
      <c r="AG10" s="7">
        <f>_xlfn.NUMBERVALUE(SUM(trilogiq_bs!AG24:AG25))</f>
        <v>0</v>
      </c>
      <c r="AH10" s="7">
        <f>_xlfn.NUMBERVALUE(SUM(trilogiq_bs!AH24:AH25))</f>
        <v>0</v>
      </c>
      <c r="AI10" s="7">
        <f>_xlfn.NUMBERVALUE(SUM(trilogiq_bs!AI24:AI25))</f>
        <v>0</v>
      </c>
      <c r="AJ10" s="7">
        <f>_xlfn.NUMBERVALUE(SUM(trilogiq_bs!AJ24:AJ25))</f>
        <v>0</v>
      </c>
      <c r="AK10" s="7">
        <f>_xlfn.NUMBERVALUE(SUM(trilogiq_bs!AK24:AK25))</f>
        <v>0</v>
      </c>
      <c r="AL10" s="7">
        <f>_xlfn.NUMBERVALUE(SUM(trilogiq_bs!AL24:AL25))</f>
        <v>0</v>
      </c>
      <c r="AM10" s="7">
        <f>_xlfn.NUMBERVALUE(SUM(trilogiq_bs!AM24:AM25))</f>
        <v>0</v>
      </c>
      <c r="AN10" s="7">
        <f>_xlfn.NUMBERVALUE(SUM(trilogiq_bs!AN24:AN25))</f>
        <v>0</v>
      </c>
      <c r="AO10" s="7">
        <f>_xlfn.NUMBERVALUE(SUM(trilogiq_bs!AO24:AO25))</f>
        <v>0</v>
      </c>
      <c r="AP10" s="7">
        <f>_xlfn.NUMBERVALUE(SUM(trilogiq_bs!AP24:AP25))</f>
        <v>0</v>
      </c>
      <c r="AQ10" s="7">
        <f>_xlfn.NUMBERVALUE(SUM(trilogiq_bs!AQ24:AQ25))</f>
        <v>0</v>
      </c>
    </row>
    <row r="12" spans="1:43" x14ac:dyDescent="0.2">
      <c r="A12" s="6" t="s">
        <v>59</v>
      </c>
      <c r="D12" s="7">
        <f>_xlfn.NUMBERVALUE(trilogiq_bs!D35)</f>
        <v>10.4</v>
      </c>
      <c r="E12" s="7">
        <f>_xlfn.NUMBERVALUE(trilogiq_bs!E35)</f>
        <v>10.4</v>
      </c>
      <c r="F12" s="7">
        <f>_xlfn.NUMBERVALUE(trilogiq_bs!F35)</f>
        <v>7</v>
      </c>
      <c r="G12" s="7">
        <f>_xlfn.NUMBERVALUE(trilogiq_bs!G35)</f>
        <v>7</v>
      </c>
      <c r="H12" s="7">
        <f>_xlfn.NUMBERVALUE(trilogiq_bs!H35)</f>
        <v>6.2</v>
      </c>
      <c r="I12" s="7">
        <f>_xlfn.NUMBERVALUE(trilogiq_bs!I35)</f>
        <v>6.2</v>
      </c>
      <c r="J12" s="7">
        <f>_xlfn.NUMBERVALUE(trilogiq_bs!J35)</f>
        <v>5.2</v>
      </c>
      <c r="K12" s="7">
        <f>_xlfn.NUMBERVALUE(trilogiq_bs!K35)</f>
        <v>5.2</v>
      </c>
      <c r="L12" s="7">
        <f>_xlfn.NUMBERVALUE(trilogiq_bs!L35)</f>
        <v>5.4</v>
      </c>
      <c r="M12" s="7">
        <f>_xlfn.NUMBERVALUE(trilogiq_bs!M35)</f>
        <v>5.4</v>
      </c>
      <c r="N12" s="7">
        <f>_xlfn.NUMBERVALUE(trilogiq_bs!N35)</f>
        <v>5.0999999999999996</v>
      </c>
      <c r="O12" s="7">
        <f>_xlfn.NUMBERVALUE(trilogiq_bs!O35)</f>
        <v>5.0999999999999996</v>
      </c>
      <c r="P12" s="7">
        <f>_xlfn.NUMBERVALUE(trilogiq_bs!P35)</f>
        <v>0</v>
      </c>
      <c r="Q12" s="7">
        <f>_xlfn.NUMBERVALUE(trilogiq_bs!Q35)</f>
        <v>0</v>
      </c>
      <c r="R12" s="7">
        <f>_xlfn.NUMBERVALUE(trilogiq_bs!R35)</f>
        <v>4</v>
      </c>
      <c r="S12" s="7">
        <f>_xlfn.NUMBERVALUE(trilogiq_bs!S35)</f>
        <v>4</v>
      </c>
      <c r="T12" s="7">
        <f>_xlfn.NUMBERVALUE(trilogiq_bs!T35)</f>
        <v>3.6</v>
      </c>
      <c r="U12" s="7">
        <f>_xlfn.NUMBERVALUE(trilogiq_bs!U35)</f>
        <v>3.6</v>
      </c>
      <c r="V12" s="7">
        <f>_xlfn.NUMBERVALUE(trilogiq_bs!V35)</f>
        <v>2.9</v>
      </c>
      <c r="W12" s="7">
        <f>_xlfn.NUMBERVALUE(trilogiq_bs!W35)</f>
        <v>2.9</v>
      </c>
      <c r="X12" s="7">
        <f>_xlfn.NUMBERVALUE(trilogiq_bs!X35)</f>
        <v>3.5</v>
      </c>
      <c r="Y12" s="7">
        <f>_xlfn.NUMBERVALUE(trilogiq_bs!Y35)</f>
        <v>3.5</v>
      </c>
      <c r="Z12" s="7">
        <f>_xlfn.NUMBERVALUE(trilogiq_bs!Z35)</f>
        <v>0</v>
      </c>
      <c r="AA12" s="7">
        <f>_xlfn.NUMBERVALUE(trilogiq_bs!AA35)</f>
        <v>0</v>
      </c>
      <c r="AB12" s="7">
        <f>_xlfn.NUMBERVALUE(trilogiq_bs!AB35)</f>
        <v>3.4</v>
      </c>
      <c r="AC12" s="7">
        <f>_xlfn.NUMBERVALUE(trilogiq_bs!AC35)</f>
        <v>3.4</v>
      </c>
      <c r="AD12" s="7">
        <f>_xlfn.NUMBERVALUE(trilogiq_bs!AD35)</f>
        <v>0</v>
      </c>
      <c r="AE12" s="7">
        <f>_xlfn.NUMBERVALUE(trilogiq_bs!AE35)</f>
        <v>0</v>
      </c>
      <c r="AF12" s="7">
        <f>_xlfn.NUMBERVALUE(trilogiq_bs!AF35)</f>
        <v>2</v>
      </c>
      <c r="AG12" s="7">
        <f>_xlfn.NUMBERVALUE(trilogiq_bs!AG35)</f>
        <v>2</v>
      </c>
      <c r="AH12" s="7">
        <f>_xlfn.NUMBERVALUE(trilogiq_bs!AH35)</f>
        <v>1.9</v>
      </c>
      <c r="AI12" s="7">
        <f>_xlfn.NUMBERVALUE(trilogiq_bs!AI35)</f>
        <v>1.9</v>
      </c>
      <c r="AJ12" s="7">
        <f>_xlfn.NUMBERVALUE(trilogiq_bs!AJ35)</f>
        <v>2</v>
      </c>
      <c r="AK12" s="7">
        <f>_xlfn.NUMBERVALUE(trilogiq_bs!AK35)</f>
        <v>2</v>
      </c>
      <c r="AL12" s="7">
        <f>_xlfn.NUMBERVALUE(trilogiq_bs!AL35)</f>
        <v>2.2999999999999998</v>
      </c>
      <c r="AM12" s="7">
        <f>_xlfn.NUMBERVALUE(trilogiq_bs!AM35)</f>
        <v>2.2999999999999998</v>
      </c>
      <c r="AN12" s="7">
        <f>_xlfn.NUMBERVALUE(trilogiq_bs!AN35)</f>
        <v>1.9</v>
      </c>
      <c r="AO12" s="7">
        <f>_xlfn.NUMBERVALUE(trilogiq_bs!AO35)</f>
        <v>1.9</v>
      </c>
      <c r="AP12" s="7">
        <f>_xlfn.NUMBERVALUE(trilogiq_bs!AP35)</f>
        <v>1.7</v>
      </c>
      <c r="AQ12" s="7">
        <f>_xlfn.NUMBERVALUE(trilogiq_bs!AQ35)</f>
        <v>1.7</v>
      </c>
    </row>
    <row r="13" spans="1:43" x14ac:dyDescent="0.2">
      <c r="A13" s="6" t="s">
        <v>60</v>
      </c>
      <c r="D13" s="7">
        <f>_xlfn.NUMBERVALUE(trilogiq_bs!D40)</f>
        <v>10.8</v>
      </c>
      <c r="E13" s="7">
        <f>_xlfn.NUMBERVALUE(trilogiq_bs!E40)</f>
        <v>10.8</v>
      </c>
      <c r="F13" s="7">
        <f>_xlfn.NUMBERVALUE(trilogiq_bs!F40)</f>
        <v>7.6</v>
      </c>
      <c r="G13" s="7">
        <f>_xlfn.NUMBERVALUE(trilogiq_bs!G40)</f>
        <v>7.6</v>
      </c>
      <c r="H13" s="7">
        <f>_xlfn.NUMBERVALUE(trilogiq_bs!H40)</f>
        <v>8.1</v>
      </c>
      <c r="I13" s="7">
        <f>_xlfn.NUMBERVALUE(trilogiq_bs!I40)</f>
        <v>8.1</v>
      </c>
      <c r="J13" s="7">
        <f>_xlfn.NUMBERVALUE(trilogiq_bs!J40)</f>
        <v>7.2</v>
      </c>
      <c r="K13" s="7">
        <f>_xlfn.NUMBERVALUE(trilogiq_bs!K40)</f>
        <v>7.2</v>
      </c>
      <c r="L13" s="7">
        <f>_xlfn.NUMBERVALUE(trilogiq_bs!L40)</f>
        <v>10.1</v>
      </c>
      <c r="M13" s="7">
        <f>_xlfn.NUMBERVALUE(trilogiq_bs!M40)</f>
        <v>10.1</v>
      </c>
      <c r="N13" s="7">
        <f>_xlfn.NUMBERVALUE(trilogiq_bs!N40)</f>
        <v>9.1</v>
      </c>
      <c r="O13" s="7">
        <f>_xlfn.NUMBERVALUE(trilogiq_bs!O40)</f>
        <v>9.1</v>
      </c>
      <c r="P13" s="7">
        <f>_xlfn.NUMBERVALUE(trilogiq_bs!P40)</f>
        <v>0</v>
      </c>
      <c r="Q13" s="7">
        <f>_xlfn.NUMBERVALUE(trilogiq_bs!Q40)</f>
        <v>0</v>
      </c>
      <c r="R13" s="7">
        <f>_xlfn.NUMBERVALUE(trilogiq_bs!R40)</f>
        <v>6.3</v>
      </c>
      <c r="S13" s="7">
        <f>_xlfn.NUMBERVALUE(trilogiq_bs!S40)</f>
        <v>6.3</v>
      </c>
      <c r="T13" s="7">
        <f>_xlfn.NUMBERVALUE(trilogiq_bs!T40)</f>
        <v>5.4</v>
      </c>
      <c r="U13" s="7">
        <f>_xlfn.NUMBERVALUE(trilogiq_bs!U40)</f>
        <v>5.4</v>
      </c>
      <c r="V13" s="7">
        <f>_xlfn.NUMBERVALUE(trilogiq_bs!V40)</f>
        <v>4.3</v>
      </c>
      <c r="W13" s="7">
        <f>_xlfn.NUMBERVALUE(trilogiq_bs!W40)</f>
        <v>4.3</v>
      </c>
      <c r="X13" s="7">
        <f>_xlfn.NUMBERVALUE(trilogiq_bs!X40)</f>
        <v>4.5999999999999996</v>
      </c>
      <c r="Y13" s="7">
        <f>_xlfn.NUMBERVALUE(trilogiq_bs!Y40)</f>
        <v>4.5999999999999996</v>
      </c>
      <c r="Z13" s="7">
        <f>_xlfn.NUMBERVALUE(trilogiq_bs!Z40)</f>
        <v>0</v>
      </c>
      <c r="AA13" s="7">
        <f>_xlfn.NUMBERVALUE(trilogiq_bs!AA40)</f>
        <v>0</v>
      </c>
      <c r="AB13" s="7">
        <f>_xlfn.NUMBERVALUE(trilogiq_bs!AB40)</f>
        <v>4.0999999999999996</v>
      </c>
      <c r="AC13" s="7">
        <f>_xlfn.NUMBERVALUE(trilogiq_bs!AC40)</f>
        <v>4.0999999999999996</v>
      </c>
      <c r="AD13" s="7">
        <f>_xlfn.NUMBERVALUE(trilogiq_bs!AD40)</f>
        <v>0</v>
      </c>
      <c r="AE13" s="7">
        <f>_xlfn.NUMBERVALUE(trilogiq_bs!AE40)</f>
        <v>0</v>
      </c>
      <c r="AF13" s="7">
        <f>_xlfn.NUMBERVALUE(trilogiq_bs!AF40)</f>
        <v>4.0999999999999996</v>
      </c>
      <c r="AG13" s="7">
        <f>_xlfn.NUMBERVALUE(trilogiq_bs!AG40)</f>
        <v>4.0999999999999996</v>
      </c>
      <c r="AH13" s="7">
        <f>_xlfn.NUMBERVALUE(trilogiq_bs!AH40)</f>
        <v>4</v>
      </c>
      <c r="AI13" s="7">
        <f>_xlfn.NUMBERVALUE(trilogiq_bs!AI40)</f>
        <v>4</v>
      </c>
      <c r="AJ13" s="7">
        <f>_xlfn.NUMBERVALUE(trilogiq_bs!AJ40)</f>
        <v>4</v>
      </c>
      <c r="AK13" s="7">
        <f>_xlfn.NUMBERVALUE(trilogiq_bs!AK40)</f>
        <v>4</v>
      </c>
      <c r="AL13" s="7">
        <f>_xlfn.NUMBERVALUE(trilogiq_bs!AL40)</f>
        <v>4.5999999999999996</v>
      </c>
      <c r="AM13" s="7">
        <f>_xlfn.NUMBERVALUE(trilogiq_bs!AM40)</f>
        <v>4.5999999999999996</v>
      </c>
      <c r="AN13" s="7">
        <f>_xlfn.NUMBERVALUE(trilogiq_bs!AN40)</f>
        <v>3.9</v>
      </c>
      <c r="AO13" s="7">
        <f>_xlfn.NUMBERVALUE(trilogiq_bs!AO40)</f>
        <v>3.9</v>
      </c>
      <c r="AP13" s="7">
        <f>_xlfn.NUMBERVALUE(trilogiq_bs!AP40)</f>
        <v>4</v>
      </c>
      <c r="AQ13" s="7">
        <f>_xlfn.NUMBERVALUE(trilogiq_bs!AQ40)</f>
        <v>4</v>
      </c>
    </row>
    <row r="15" spans="1:43" x14ac:dyDescent="0.2">
      <c r="A15" s="6" t="s">
        <v>61</v>
      </c>
      <c r="D15" s="7">
        <f>_xlfn.NUMBERVALUE(trilogiq_bs!D32)+_xlfn.NUMBERVALUE(trilogiq_bs!D37)+_xlfn.NUMBERVALUE(trilogiq_bs!D31)</f>
        <v>0</v>
      </c>
      <c r="E15" s="7">
        <f>_xlfn.NUMBERVALUE(trilogiq_bs!E32)+_xlfn.NUMBERVALUE(trilogiq_bs!E37)+_xlfn.NUMBERVALUE(trilogiq_bs!E31)</f>
        <v>0</v>
      </c>
      <c r="F15" s="7">
        <f>_xlfn.NUMBERVALUE(trilogiq_bs!F32)+_xlfn.NUMBERVALUE(trilogiq_bs!F37)+_xlfn.NUMBERVALUE(trilogiq_bs!F31)</f>
        <v>0</v>
      </c>
      <c r="G15" s="7">
        <f>_xlfn.NUMBERVALUE(trilogiq_bs!G32)+_xlfn.NUMBERVALUE(trilogiq_bs!G37)+_xlfn.NUMBERVALUE(trilogiq_bs!G31)</f>
        <v>0</v>
      </c>
      <c r="H15" s="7">
        <f>_xlfn.NUMBERVALUE(trilogiq_bs!H32)+_xlfn.NUMBERVALUE(trilogiq_bs!H37)+_xlfn.NUMBERVALUE(trilogiq_bs!H31)</f>
        <v>1.4</v>
      </c>
      <c r="I15" s="7">
        <f>_xlfn.NUMBERVALUE(trilogiq_bs!I32)+_xlfn.NUMBERVALUE(trilogiq_bs!I37)+_xlfn.NUMBERVALUE(trilogiq_bs!I31)</f>
        <v>1.4</v>
      </c>
      <c r="J15" s="7">
        <f>_xlfn.NUMBERVALUE(trilogiq_bs!J32)+_xlfn.NUMBERVALUE(trilogiq_bs!J37)+_xlfn.NUMBERVALUE(trilogiq_bs!J31)</f>
        <v>1.6</v>
      </c>
      <c r="K15" s="7">
        <f>_xlfn.NUMBERVALUE(trilogiq_bs!K32)+_xlfn.NUMBERVALUE(trilogiq_bs!K37)+_xlfn.NUMBERVALUE(trilogiq_bs!K31)</f>
        <v>1.6</v>
      </c>
      <c r="L15" s="7">
        <f>_xlfn.NUMBERVALUE(trilogiq_bs!L32)+_xlfn.NUMBERVALUE(trilogiq_bs!L37)+_xlfn.NUMBERVALUE(trilogiq_bs!L31)</f>
        <v>4.4000000000000004</v>
      </c>
      <c r="M15" s="7">
        <f>_xlfn.NUMBERVALUE(trilogiq_bs!M32)+_xlfn.NUMBERVALUE(trilogiq_bs!M37)+_xlfn.NUMBERVALUE(trilogiq_bs!M31)</f>
        <v>4.4000000000000004</v>
      </c>
      <c r="N15" s="7">
        <f>_xlfn.NUMBERVALUE(trilogiq_bs!N32)+_xlfn.NUMBERVALUE(trilogiq_bs!N37)+_xlfn.NUMBERVALUE(trilogiq_bs!N31)</f>
        <v>3.7</v>
      </c>
      <c r="O15" s="7">
        <f>_xlfn.NUMBERVALUE(trilogiq_bs!O32)+_xlfn.NUMBERVALUE(trilogiq_bs!O37)+_xlfn.NUMBERVALUE(trilogiq_bs!O31)</f>
        <v>3.7</v>
      </c>
      <c r="P15" s="7">
        <f>_xlfn.NUMBERVALUE(trilogiq_bs!P32)+_xlfn.NUMBERVALUE(trilogiq_bs!P37)+_xlfn.NUMBERVALUE(trilogiq_bs!P31)</f>
        <v>0</v>
      </c>
      <c r="Q15" s="7">
        <f>_xlfn.NUMBERVALUE(trilogiq_bs!Q32)+_xlfn.NUMBERVALUE(trilogiq_bs!Q37)+_xlfn.NUMBERVALUE(trilogiq_bs!Q31)</f>
        <v>0</v>
      </c>
      <c r="R15" s="7">
        <f>_xlfn.NUMBERVALUE(trilogiq_bs!R32)+_xlfn.NUMBERVALUE(trilogiq_bs!R37)+_xlfn.NUMBERVALUE(trilogiq_bs!R31)</f>
        <v>2.1</v>
      </c>
      <c r="S15" s="7">
        <f>_xlfn.NUMBERVALUE(trilogiq_bs!S32)+_xlfn.NUMBERVALUE(trilogiq_bs!S37)+_xlfn.NUMBERVALUE(trilogiq_bs!S31)</f>
        <v>2.1</v>
      </c>
      <c r="T15" s="7">
        <f>_xlfn.NUMBERVALUE(trilogiq_bs!T32)+_xlfn.NUMBERVALUE(trilogiq_bs!T37)+_xlfn.NUMBERVALUE(trilogiq_bs!T31)</f>
        <v>1.5</v>
      </c>
      <c r="U15" s="7">
        <f>_xlfn.NUMBERVALUE(trilogiq_bs!U32)+_xlfn.NUMBERVALUE(trilogiq_bs!U37)+_xlfn.NUMBERVALUE(trilogiq_bs!U31)</f>
        <v>1.5</v>
      </c>
      <c r="V15" s="7">
        <f>_xlfn.NUMBERVALUE(trilogiq_bs!V32)+_xlfn.NUMBERVALUE(trilogiq_bs!V37)+_xlfn.NUMBERVALUE(trilogiq_bs!V31)</f>
        <v>1.2</v>
      </c>
      <c r="W15" s="7">
        <f>_xlfn.NUMBERVALUE(trilogiq_bs!W32)+_xlfn.NUMBERVALUE(trilogiq_bs!W37)+_xlfn.NUMBERVALUE(trilogiq_bs!W31)</f>
        <v>1.2</v>
      </c>
      <c r="X15" s="7">
        <f>_xlfn.NUMBERVALUE(trilogiq_bs!X32)+_xlfn.NUMBERVALUE(trilogiq_bs!X37)+_xlfn.NUMBERVALUE(trilogiq_bs!X31)</f>
        <v>0.8</v>
      </c>
      <c r="Y15" s="7">
        <f>_xlfn.NUMBERVALUE(trilogiq_bs!Y32)+_xlfn.NUMBERVALUE(trilogiq_bs!Y37)+_xlfn.NUMBERVALUE(trilogiq_bs!Y31)</f>
        <v>0.8</v>
      </c>
      <c r="Z15" s="7">
        <f>_xlfn.NUMBERVALUE(trilogiq_bs!Z32)+_xlfn.NUMBERVALUE(trilogiq_bs!Z37)+_xlfn.NUMBERVALUE(trilogiq_bs!Z31)</f>
        <v>0</v>
      </c>
      <c r="AA15" s="7">
        <f>_xlfn.NUMBERVALUE(trilogiq_bs!AA32)+_xlfn.NUMBERVALUE(trilogiq_bs!AA37)+_xlfn.NUMBERVALUE(trilogiq_bs!AA31)</f>
        <v>0</v>
      </c>
      <c r="AB15" s="7">
        <f>_xlfn.NUMBERVALUE(trilogiq_bs!AB32)+_xlfn.NUMBERVALUE(trilogiq_bs!AB37)+_xlfn.NUMBERVALUE(trilogiq_bs!AB31)</f>
        <v>0.1</v>
      </c>
      <c r="AC15" s="7">
        <f>_xlfn.NUMBERVALUE(trilogiq_bs!AC32)+_xlfn.NUMBERVALUE(trilogiq_bs!AC37)+_xlfn.NUMBERVALUE(trilogiq_bs!AC31)</f>
        <v>0.1</v>
      </c>
      <c r="AD15" s="7">
        <f>_xlfn.NUMBERVALUE(trilogiq_bs!AD32)+_xlfn.NUMBERVALUE(trilogiq_bs!AD37)+_xlfn.NUMBERVALUE(trilogiq_bs!AD31)</f>
        <v>0</v>
      </c>
      <c r="AE15" s="7">
        <f>_xlfn.NUMBERVALUE(trilogiq_bs!AE32)+_xlfn.NUMBERVALUE(trilogiq_bs!AE37)+_xlfn.NUMBERVALUE(trilogiq_bs!AE31)</f>
        <v>0</v>
      </c>
      <c r="AF15" s="7">
        <f>_xlfn.NUMBERVALUE(trilogiq_bs!AF32)+_xlfn.NUMBERVALUE(trilogiq_bs!AF37)+_xlfn.NUMBERVALUE(trilogiq_bs!AF31)</f>
        <v>0</v>
      </c>
      <c r="AG15" s="7">
        <f>_xlfn.NUMBERVALUE(trilogiq_bs!AG32)+_xlfn.NUMBERVALUE(trilogiq_bs!AG37)+_xlfn.NUMBERVALUE(trilogiq_bs!AG31)</f>
        <v>0</v>
      </c>
      <c r="AH15" s="7">
        <f>_xlfn.NUMBERVALUE(trilogiq_bs!AH32)+_xlfn.NUMBERVALUE(trilogiq_bs!AH37)+_xlfn.NUMBERVALUE(trilogiq_bs!AH31)</f>
        <v>0</v>
      </c>
      <c r="AI15" s="7">
        <f>_xlfn.NUMBERVALUE(trilogiq_bs!AI32)+_xlfn.NUMBERVALUE(trilogiq_bs!AI37)+_xlfn.NUMBERVALUE(trilogiq_bs!AI31)</f>
        <v>0</v>
      </c>
      <c r="AJ15" s="7">
        <f>_xlfn.NUMBERVALUE(trilogiq_bs!AJ32)+_xlfn.NUMBERVALUE(trilogiq_bs!AJ37)+_xlfn.NUMBERVALUE(trilogiq_bs!AJ31)</f>
        <v>0</v>
      </c>
      <c r="AK15" s="7">
        <f>_xlfn.NUMBERVALUE(trilogiq_bs!AK32)+_xlfn.NUMBERVALUE(trilogiq_bs!AK37)+_xlfn.NUMBERVALUE(trilogiq_bs!AK31)</f>
        <v>0</v>
      </c>
      <c r="AL15" s="7">
        <f>_xlfn.NUMBERVALUE(trilogiq_bs!AL32)+_xlfn.NUMBERVALUE(trilogiq_bs!AL37)+_xlfn.NUMBERVALUE(trilogiq_bs!AL31)</f>
        <v>0</v>
      </c>
      <c r="AM15" s="7">
        <f>_xlfn.NUMBERVALUE(trilogiq_bs!AM32)+_xlfn.NUMBERVALUE(trilogiq_bs!AM37)+_xlfn.NUMBERVALUE(trilogiq_bs!AM31)</f>
        <v>0</v>
      </c>
      <c r="AN15" s="7">
        <f>_xlfn.NUMBERVALUE(trilogiq_bs!AN32)+_xlfn.NUMBERVALUE(trilogiq_bs!AN37)+_xlfn.NUMBERVALUE(trilogiq_bs!AN31)</f>
        <v>0</v>
      </c>
      <c r="AO15" s="7">
        <f>_xlfn.NUMBERVALUE(trilogiq_bs!AO32)+_xlfn.NUMBERVALUE(trilogiq_bs!AO37)+_xlfn.NUMBERVALUE(trilogiq_bs!AO31)</f>
        <v>0</v>
      </c>
      <c r="AP15" s="7">
        <f>_xlfn.NUMBERVALUE(trilogiq_bs!AP32)+_xlfn.NUMBERVALUE(trilogiq_bs!AP37)+_xlfn.NUMBERVALUE(trilogiq_bs!AP31)</f>
        <v>0</v>
      </c>
      <c r="AQ15" s="7">
        <f>_xlfn.NUMBERVALUE(trilogiq_bs!AQ32)+_xlfn.NUMBERVALUE(trilogiq_bs!AQ37)+_xlfn.NUMBERVALUE(trilogiq_bs!AQ31)</f>
        <v>0</v>
      </c>
    </row>
    <row r="16" spans="1:43" x14ac:dyDescent="0.2">
      <c r="A16" s="6" t="s">
        <v>62</v>
      </c>
      <c r="D16" s="7">
        <f>_xlfn.NUMBERVALUE(trilogiq_bs!D51)</f>
        <v>56.1</v>
      </c>
      <c r="E16" s="7">
        <f>_xlfn.NUMBERVALUE(trilogiq_bs!E51)</f>
        <v>56.1</v>
      </c>
      <c r="F16" s="7">
        <f>_xlfn.NUMBERVALUE(trilogiq_bs!F51)</f>
        <v>55.8</v>
      </c>
      <c r="G16" s="7">
        <f>_xlfn.NUMBERVALUE(trilogiq_bs!G51)</f>
        <v>55.8</v>
      </c>
      <c r="H16" s="7">
        <f>_xlfn.NUMBERVALUE(trilogiq_bs!H51)</f>
        <v>55.1</v>
      </c>
      <c r="I16" s="7">
        <f>_xlfn.NUMBERVALUE(trilogiq_bs!I51)</f>
        <v>55.1</v>
      </c>
      <c r="J16" s="7">
        <f>_xlfn.NUMBERVALUE(trilogiq_bs!J51)</f>
        <v>52.9</v>
      </c>
      <c r="K16" s="7">
        <f>_xlfn.NUMBERVALUE(trilogiq_bs!K51)</f>
        <v>52.9</v>
      </c>
      <c r="L16" s="7">
        <f>_xlfn.NUMBERVALUE(trilogiq_bs!L51)</f>
        <v>48.8</v>
      </c>
      <c r="M16" s="7">
        <f>_xlfn.NUMBERVALUE(trilogiq_bs!M51)</f>
        <v>48.8</v>
      </c>
      <c r="N16" s="7">
        <f>_xlfn.NUMBERVALUE(trilogiq_bs!N51)</f>
        <v>42.9</v>
      </c>
      <c r="O16" s="7">
        <f>_xlfn.NUMBERVALUE(trilogiq_bs!O51)</f>
        <v>42.9</v>
      </c>
      <c r="P16" s="7">
        <f>_xlfn.NUMBERVALUE(trilogiq_bs!P51)</f>
        <v>42.9</v>
      </c>
      <c r="Q16" s="7">
        <f>_xlfn.NUMBERVALUE(trilogiq_bs!Q51)</f>
        <v>0</v>
      </c>
      <c r="R16" s="7">
        <f>_xlfn.NUMBERVALUE(trilogiq_bs!R51)</f>
        <v>40.799999999999997</v>
      </c>
      <c r="S16" s="7">
        <f>_xlfn.NUMBERVALUE(trilogiq_bs!S51)</f>
        <v>40.799999999999997</v>
      </c>
      <c r="T16" s="7">
        <f>_xlfn.NUMBERVALUE(trilogiq_bs!T51)</f>
        <v>38.799999999999997</v>
      </c>
      <c r="U16" s="7">
        <f>_xlfn.NUMBERVALUE(trilogiq_bs!U51)</f>
        <v>38.799999999999997</v>
      </c>
      <c r="V16" s="7">
        <f>_xlfn.NUMBERVALUE(trilogiq_bs!V51)</f>
        <v>36.4</v>
      </c>
      <c r="W16" s="7">
        <f>_xlfn.NUMBERVALUE(trilogiq_bs!W51)</f>
        <v>36.4</v>
      </c>
      <c r="X16" s="7">
        <f>_xlfn.NUMBERVALUE(trilogiq_bs!X51)</f>
        <v>35.1</v>
      </c>
      <c r="Y16" s="7">
        <f>_xlfn.NUMBERVALUE(trilogiq_bs!Y51)</f>
        <v>35.1</v>
      </c>
      <c r="Z16" s="7">
        <f>_xlfn.NUMBERVALUE(trilogiq_bs!Z51)</f>
        <v>35.1</v>
      </c>
      <c r="AA16" s="7">
        <f>_xlfn.NUMBERVALUE(trilogiq_bs!AA51)</f>
        <v>0</v>
      </c>
      <c r="AB16" s="7">
        <f>_xlfn.NUMBERVALUE(trilogiq_bs!AB51)</f>
        <v>35.799999999999997</v>
      </c>
      <c r="AC16" s="7">
        <f>_xlfn.NUMBERVALUE(trilogiq_bs!AC51)</f>
        <v>35.799999999999997</v>
      </c>
      <c r="AD16" s="7">
        <f>_xlfn.NUMBERVALUE(trilogiq_bs!AD51)</f>
        <v>35.799999999999997</v>
      </c>
      <c r="AE16" s="7">
        <f>_xlfn.NUMBERVALUE(trilogiq_bs!AE51)</f>
        <v>0</v>
      </c>
      <c r="AF16" s="7">
        <f>_xlfn.NUMBERVALUE(trilogiq_bs!AF51)</f>
        <v>36.6</v>
      </c>
      <c r="AG16" s="7">
        <f>_xlfn.NUMBERVALUE(trilogiq_bs!AG51)</f>
        <v>36.6</v>
      </c>
      <c r="AH16" s="7">
        <f>_xlfn.NUMBERVALUE(trilogiq_bs!AH51)</f>
        <v>35.799999999999997</v>
      </c>
      <c r="AI16" s="7">
        <f>_xlfn.NUMBERVALUE(trilogiq_bs!AI51)</f>
        <v>35.799999999999997</v>
      </c>
      <c r="AJ16" s="7">
        <f>_xlfn.NUMBERVALUE(trilogiq_bs!AJ51)</f>
        <v>36.200000000000003</v>
      </c>
      <c r="AK16" s="7">
        <f>_xlfn.NUMBERVALUE(trilogiq_bs!AK51)</f>
        <v>36.200000000000003</v>
      </c>
      <c r="AL16" s="7">
        <f>_xlfn.NUMBERVALUE(trilogiq_bs!AL51)</f>
        <v>37.4</v>
      </c>
      <c r="AM16" s="7">
        <f>_xlfn.NUMBERVALUE(trilogiq_bs!AM51)</f>
        <v>37.4</v>
      </c>
      <c r="AN16" s="7">
        <f>_xlfn.NUMBERVALUE(trilogiq_bs!AN51)</f>
        <v>38.1</v>
      </c>
      <c r="AO16" s="7">
        <f>_xlfn.NUMBERVALUE(trilogiq_bs!AO51)</f>
        <v>38.1</v>
      </c>
      <c r="AP16" s="7">
        <f>_xlfn.NUMBERVALUE(trilogiq_bs!AP51)</f>
        <v>37.9</v>
      </c>
      <c r="AQ16" s="7">
        <f>_xlfn.NUMBERVALUE(trilogiq_bs!AQ51)</f>
        <v>37.9</v>
      </c>
    </row>
    <row r="18" spans="1:43" x14ac:dyDescent="0.2">
      <c r="A18" s="6" t="s">
        <v>63</v>
      </c>
      <c r="D18" s="8">
        <f t="shared" ref="D18:AQ18" si="1">D9-D10-D13</f>
        <v>55.900000000000006</v>
      </c>
      <c r="E18" s="8">
        <f t="shared" si="1"/>
        <v>55.900000000000006</v>
      </c>
      <c r="F18" s="8">
        <f t="shared" si="1"/>
        <v>55.499999999999993</v>
      </c>
      <c r="G18" s="8">
        <f t="shared" si="1"/>
        <v>55.499999999999993</v>
      </c>
      <c r="H18" s="8">
        <f t="shared" si="1"/>
        <v>54.9</v>
      </c>
      <c r="I18" s="8">
        <f t="shared" si="1"/>
        <v>54.9</v>
      </c>
      <c r="J18" s="8">
        <f t="shared" si="1"/>
        <v>52.3</v>
      </c>
      <c r="K18" s="8">
        <f t="shared" si="1"/>
        <v>52.3</v>
      </c>
      <c r="L18" s="8">
        <f t="shared" si="1"/>
        <v>47.8</v>
      </c>
      <c r="M18" s="8">
        <f t="shared" si="1"/>
        <v>47.8</v>
      </c>
      <c r="N18" s="8">
        <f t="shared" si="1"/>
        <v>42.199999999999996</v>
      </c>
      <c r="O18" s="8">
        <f t="shared" si="1"/>
        <v>42.199999999999996</v>
      </c>
      <c r="P18" s="8">
        <f t="shared" si="1"/>
        <v>0</v>
      </c>
      <c r="Q18" s="8">
        <f t="shared" si="1"/>
        <v>0</v>
      </c>
      <c r="R18" s="8">
        <f t="shared" si="1"/>
        <v>40.300000000000004</v>
      </c>
      <c r="S18" s="8">
        <f t="shared" si="1"/>
        <v>40.300000000000004</v>
      </c>
      <c r="T18" s="8">
        <f t="shared" si="1"/>
        <v>38.500000000000007</v>
      </c>
      <c r="U18" s="8">
        <f t="shared" si="1"/>
        <v>38.500000000000007</v>
      </c>
      <c r="V18" s="8">
        <f t="shared" si="1"/>
        <v>36.4</v>
      </c>
      <c r="W18" s="8">
        <f t="shared" si="1"/>
        <v>36.4</v>
      </c>
      <c r="X18" s="8">
        <f t="shared" si="1"/>
        <v>35</v>
      </c>
      <c r="Y18" s="8">
        <f t="shared" si="1"/>
        <v>35</v>
      </c>
      <c r="Z18" s="8">
        <f t="shared" si="1"/>
        <v>0</v>
      </c>
      <c r="AA18" s="8">
        <f t="shared" si="1"/>
        <v>0</v>
      </c>
      <c r="AB18" s="8">
        <f t="shared" si="1"/>
        <v>35.9</v>
      </c>
      <c r="AC18" s="8">
        <f t="shared" si="1"/>
        <v>35.9</v>
      </c>
      <c r="AD18" s="8">
        <f t="shared" si="1"/>
        <v>0</v>
      </c>
      <c r="AE18" s="8">
        <f t="shared" si="1"/>
        <v>0</v>
      </c>
      <c r="AF18" s="8">
        <f t="shared" si="1"/>
        <v>36.6</v>
      </c>
      <c r="AG18" s="8">
        <f t="shared" si="1"/>
        <v>36.6</v>
      </c>
      <c r="AH18" s="8">
        <f t="shared" si="1"/>
        <v>35.799999999999997</v>
      </c>
      <c r="AI18" s="8">
        <f t="shared" si="1"/>
        <v>35.799999999999997</v>
      </c>
      <c r="AJ18" s="8">
        <f t="shared" si="1"/>
        <v>36.200000000000003</v>
      </c>
      <c r="AK18" s="8">
        <f t="shared" si="1"/>
        <v>36.200000000000003</v>
      </c>
      <c r="AL18" s="8">
        <f t="shared" si="1"/>
        <v>37.299999999999997</v>
      </c>
      <c r="AM18" s="8">
        <f t="shared" si="1"/>
        <v>37.299999999999997</v>
      </c>
      <c r="AN18" s="8">
        <f t="shared" si="1"/>
        <v>38.1</v>
      </c>
      <c r="AO18" s="8">
        <f t="shared" si="1"/>
        <v>38.1</v>
      </c>
      <c r="AP18" s="8">
        <f t="shared" si="1"/>
        <v>38</v>
      </c>
      <c r="AQ18" s="8">
        <f t="shared" si="1"/>
        <v>38</v>
      </c>
    </row>
    <row r="20" spans="1:43" x14ac:dyDescent="0.2">
      <c r="A20" s="6" t="s">
        <v>7</v>
      </c>
      <c r="D20" s="29">
        <f>_xlfn.NUMBERVALUE(trilogiq_IS!D41)</f>
        <v>3.4</v>
      </c>
      <c r="E20" s="29">
        <f>_xlfn.NUMBERVALUE(trilogiq_IS!E41)</f>
        <v>3.4</v>
      </c>
      <c r="F20" s="29">
        <f>_xlfn.NUMBERVALUE(trilogiq_IS!F41)</f>
        <v>3.5</v>
      </c>
      <c r="G20" s="29">
        <f>_xlfn.NUMBERVALUE(trilogiq_IS!G41)</f>
        <v>3.5</v>
      </c>
      <c r="H20" s="29">
        <f>_xlfn.NUMBERVALUE(trilogiq_IS!H41)</f>
        <v>3.6</v>
      </c>
      <c r="I20" s="29">
        <f>_xlfn.NUMBERVALUE(trilogiq_IS!I41)</f>
        <v>3.6</v>
      </c>
      <c r="J20" s="29">
        <f>_xlfn.NUMBERVALUE(trilogiq_IS!J41)</f>
        <v>3.8</v>
      </c>
      <c r="K20" s="29">
        <f>_xlfn.NUMBERVALUE(trilogiq_IS!K41)</f>
        <v>3.8</v>
      </c>
      <c r="L20" s="29">
        <f>_xlfn.NUMBERVALUE(trilogiq_IS!L41)</f>
        <v>3.7</v>
      </c>
      <c r="M20" s="29">
        <f>_xlfn.NUMBERVALUE(trilogiq_IS!M41)</f>
        <v>3.7</v>
      </c>
      <c r="N20" s="29">
        <f>_xlfn.NUMBERVALUE(trilogiq_IS!N41)</f>
        <v>0</v>
      </c>
      <c r="O20" s="29">
        <f>_xlfn.NUMBERVALUE(trilogiq_IS!O41)</f>
        <v>3.7</v>
      </c>
      <c r="P20" s="29">
        <f>_xlfn.NUMBERVALUE(trilogiq_IS!P41)</f>
        <v>3.6</v>
      </c>
      <c r="Q20" s="29">
        <f>_xlfn.NUMBERVALUE(trilogiq_IS!Q41)</f>
        <v>3.6</v>
      </c>
      <c r="R20" s="29">
        <f>_xlfn.NUMBERVALUE(trilogiq_IS!R41)</f>
        <v>3.7</v>
      </c>
      <c r="S20" s="29">
        <f>_xlfn.NUMBERVALUE(trilogiq_IS!S41)</f>
        <v>3.7</v>
      </c>
      <c r="T20" s="29">
        <f>_xlfn.NUMBERVALUE(trilogiq_IS!T41)</f>
        <v>3.6</v>
      </c>
      <c r="U20" s="29">
        <f>_xlfn.NUMBERVALUE(trilogiq_IS!U41)</f>
        <v>3.6</v>
      </c>
      <c r="V20" s="29">
        <f>_xlfn.NUMBERVALUE(trilogiq_IS!V41)</f>
        <v>3.6</v>
      </c>
      <c r="W20" s="29">
        <f>_xlfn.NUMBERVALUE(trilogiq_IS!W41)</f>
        <v>3.6</v>
      </c>
      <c r="X20" s="29">
        <f>_xlfn.NUMBERVALUE(trilogiq_IS!X41)</f>
        <v>3.6</v>
      </c>
      <c r="Y20" s="29">
        <f>_xlfn.NUMBERVALUE(trilogiq_IS!Y41)</f>
        <v>3.6</v>
      </c>
      <c r="Z20" s="29">
        <f>_xlfn.NUMBERVALUE(trilogiq_IS!Z41)</f>
        <v>0</v>
      </c>
      <c r="AA20" s="29">
        <f>_xlfn.NUMBERVALUE(trilogiq_IS!AA41)</f>
        <v>0</v>
      </c>
      <c r="AB20" s="29">
        <f>_xlfn.NUMBERVALUE(trilogiq_IS!AB41)</f>
        <v>4.5</v>
      </c>
      <c r="AC20" s="29">
        <f>_xlfn.NUMBERVALUE(trilogiq_IS!AC41)</f>
        <v>4.5</v>
      </c>
      <c r="AD20" s="29">
        <f>_xlfn.NUMBERVALUE(trilogiq_IS!AD41)</f>
        <v>0</v>
      </c>
      <c r="AE20" s="29">
        <f>_xlfn.NUMBERVALUE(trilogiq_IS!AE41)</f>
        <v>0</v>
      </c>
      <c r="AF20" s="29">
        <f>_xlfn.NUMBERVALUE(trilogiq_IS!AF41)</f>
        <v>3.7</v>
      </c>
      <c r="AG20" s="29">
        <f>_xlfn.NUMBERVALUE(trilogiq_IS!AG41)</f>
        <v>3.7</v>
      </c>
      <c r="AH20" s="29">
        <f>_xlfn.NUMBERVALUE(trilogiq_IS!AH41)</f>
        <v>3.8</v>
      </c>
      <c r="AI20" s="29">
        <f>_xlfn.NUMBERVALUE(trilogiq_IS!AI41)</f>
        <v>3.8</v>
      </c>
      <c r="AJ20" s="29">
        <f>_xlfn.NUMBERVALUE(trilogiq_IS!AJ41)</f>
        <v>3.8</v>
      </c>
      <c r="AK20" s="29">
        <f>_xlfn.NUMBERVALUE(trilogiq_IS!AK41)</f>
        <v>3.8</v>
      </c>
      <c r="AL20" s="29">
        <f>_xlfn.NUMBERVALUE(trilogiq_IS!AL41)</f>
        <v>3.6</v>
      </c>
      <c r="AM20" s="29">
        <f>_xlfn.NUMBERVALUE(trilogiq_IS!AM41)</f>
        <v>3.6</v>
      </c>
      <c r="AN20" s="29">
        <f>_xlfn.NUMBERVALUE(trilogiq_IS!AN41)</f>
        <v>3.7</v>
      </c>
      <c r="AO20" s="29">
        <f>_xlfn.NUMBERVALUE(trilogiq_IS!AO41)</f>
        <v>3.7</v>
      </c>
      <c r="AP20" s="29">
        <f>_xlfn.NUMBERVALUE(trilogiq_IS!AP41)</f>
        <v>3.9</v>
      </c>
      <c r="AQ20" s="29">
        <f>_xlfn.NUMBERVALUE(trilogiq_IS!AQ41)</f>
        <v>3.9</v>
      </c>
    </row>
    <row r="22" spans="1:43" x14ac:dyDescent="0.2">
      <c r="A22" s="6" t="s">
        <v>64</v>
      </c>
      <c r="D22" s="21">
        <f t="shared" ref="D22:AQ22" si="2">IF(D2-D13&gt;0,D2-D13, "NA")</f>
        <v>9.5999999999999979</v>
      </c>
      <c r="E22" s="21">
        <f t="shared" si="2"/>
        <v>9.5999999999999979</v>
      </c>
      <c r="F22" s="21">
        <f t="shared" si="2"/>
        <v>13.000000000000002</v>
      </c>
      <c r="G22" s="21">
        <f t="shared" si="2"/>
        <v>13.000000000000002</v>
      </c>
      <c r="H22" s="21">
        <f t="shared" si="2"/>
        <v>12.1</v>
      </c>
      <c r="I22" s="21">
        <f t="shared" si="2"/>
        <v>12.1</v>
      </c>
      <c r="J22" s="21">
        <f t="shared" si="2"/>
        <v>10.400000000000002</v>
      </c>
      <c r="K22" s="21">
        <f t="shared" si="2"/>
        <v>10.400000000000002</v>
      </c>
      <c r="L22" s="21">
        <f t="shared" si="2"/>
        <v>8.2999999999999989</v>
      </c>
      <c r="M22" s="21">
        <f t="shared" si="2"/>
        <v>8.2999999999999989</v>
      </c>
      <c r="N22" s="21">
        <f t="shared" si="2"/>
        <v>6.5</v>
      </c>
      <c r="O22" s="21">
        <f t="shared" si="2"/>
        <v>6.5</v>
      </c>
      <c r="P22" s="21" t="str">
        <f t="shared" si="2"/>
        <v>NA</v>
      </c>
      <c r="Q22" s="21" t="str">
        <f t="shared" si="2"/>
        <v>NA</v>
      </c>
      <c r="R22" s="21">
        <f t="shared" si="2"/>
        <v>10</v>
      </c>
      <c r="S22" s="21">
        <f t="shared" si="2"/>
        <v>10</v>
      </c>
      <c r="T22" s="21">
        <f t="shared" si="2"/>
        <v>11.9</v>
      </c>
      <c r="U22" s="21">
        <f t="shared" si="2"/>
        <v>11.9</v>
      </c>
      <c r="V22" s="21">
        <f t="shared" si="2"/>
        <v>14.2</v>
      </c>
      <c r="W22" s="30">
        <f t="shared" si="2"/>
        <v>14.2</v>
      </c>
      <c r="X22" s="30">
        <f t="shared" si="2"/>
        <v>13.6</v>
      </c>
      <c r="Y22" s="30">
        <f t="shared" si="2"/>
        <v>13.6</v>
      </c>
      <c r="Z22" s="30" t="str">
        <f t="shared" si="2"/>
        <v>NA</v>
      </c>
      <c r="AA22" s="30" t="str">
        <f t="shared" si="2"/>
        <v>NA</v>
      </c>
      <c r="AB22" s="30">
        <f t="shared" si="2"/>
        <v>14.500000000000002</v>
      </c>
      <c r="AC22" s="30">
        <f t="shared" si="2"/>
        <v>14.500000000000002</v>
      </c>
      <c r="AD22" s="30" t="str">
        <f t="shared" si="2"/>
        <v>NA</v>
      </c>
      <c r="AE22" s="30" t="str">
        <f t="shared" si="2"/>
        <v>NA</v>
      </c>
      <c r="AF22" s="30">
        <f t="shared" si="2"/>
        <v>15.500000000000002</v>
      </c>
      <c r="AG22" s="30">
        <f t="shared" si="2"/>
        <v>15.500000000000002</v>
      </c>
      <c r="AH22" s="30">
        <f t="shared" si="2"/>
        <v>16.600000000000001</v>
      </c>
      <c r="AI22" s="30">
        <f t="shared" si="2"/>
        <v>16.600000000000001</v>
      </c>
      <c r="AJ22" s="30">
        <f t="shared" si="2"/>
        <v>17.799999999999997</v>
      </c>
      <c r="AK22" s="30">
        <f t="shared" si="2"/>
        <v>17.799999999999997</v>
      </c>
      <c r="AL22" s="30">
        <f t="shared" si="2"/>
        <v>18.399999999999999</v>
      </c>
      <c r="AM22" s="30">
        <f t="shared" si="2"/>
        <v>18.399999999999999</v>
      </c>
      <c r="AN22" s="30">
        <f t="shared" si="2"/>
        <v>20.200000000000003</v>
      </c>
      <c r="AO22" s="30">
        <f t="shared" si="2"/>
        <v>20.200000000000003</v>
      </c>
      <c r="AP22" s="30">
        <f t="shared" si="2"/>
        <v>21.2</v>
      </c>
      <c r="AQ22" s="30">
        <f t="shared" si="2"/>
        <v>21.2</v>
      </c>
    </row>
    <row r="23" spans="1:43" x14ac:dyDescent="0.2">
      <c r="A23" s="6" t="s">
        <v>65</v>
      </c>
      <c r="D23" s="8">
        <f t="shared" ref="D23:AQ23" si="3">D5-D13</f>
        <v>34.799999999999997</v>
      </c>
      <c r="E23" s="8">
        <f t="shared" si="3"/>
        <v>34.799999999999997</v>
      </c>
      <c r="F23" s="8">
        <f t="shared" si="3"/>
        <v>33.5</v>
      </c>
      <c r="G23" s="8">
        <f t="shared" si="3"/>
        <v>33.5</v>
      </c>
      <c r="H23" s="8">
        <f t="shared" si="3"/>
        <v>32.4</v>
      </c>
      <c r="I23" s="8">
        <f t="shared" si="3"/>
        <v>32.4</v>
      </c>
      <c r="J23" s="8">
        <f t="shared" si="3"/>
        <v>29.500000000000004</v>
      </c>
      <c r="K23" s="8">
        <f t="shared" si="3"/>
        <v>29.500000000000004</v>
      </c>
      <c r="L23" s="8">
        <f t="shared" si="3"/>
        <v>26.5</v>
      </c>
      <c r="M23" s="8">
        <f t="shared" si="3"/>
        <v>26.5</v>
      </c>
      <c r="N23" s="8">
        <f t="shared" si="3"/>
        <v>24.299999999999997</v>
      </c>
      <c r="O23" s="8">
        <f t="shared" si="3"/>
        <v>24.299999999999997</v>
      </c>
      <c r="P23" s="8">
        <f t="shared" si="3"/>
        <v>0</v>
      </c>
      <c r="Q23" s="8">
        <f t="shared" si="3"/>
        <v>0</v>
      </c>
      <c r="R23" s="8">
        <f t="shared" si="3"/>
        <v>24.3</v>
      </c>
      <c r="S23" s="8">
        <f t="shared" si="3"/>
        <v>24.3</v>
      </c>
      <c r="T23" s="8">
        <f t="shared" si="3"/>
        <v>25</v>
      </c>
      <c r="U23" s="8">
        <f t="shared" si="3"/>
        <v>25</v>
      </c>
      <c r="V23" s="8">
        <f t="shared" si="3"/>
        <v>24.2</v>
      </c>
      <c r="W23" s="8">
        <f t="shared" si="3"/>
        <v>24.2</v>
      </c>
      <c r="X23" s="8">
        <f t="shared" si="3"/>
        <v>24</v>
      </c>
      <c r="Y23" s="8">
        <f t="shared" si="3"/>
        <v>24</v>
      </c>
      <c r="Z23" s="8">
        <f t="shared" si="3"/>
        <v>0</v>
      </c>
      <c r="AA23" s="8">
        <f t="shared" si="3"/>
        <v>0</v>
      </c>
      <c r="AB23" s="8">
        <f t="shared" si="3"/>
        <v>26</v>
      </c>
      <c r="AC23" s="8">
        <f t="shared" si="3"/>
        <v>26</v>
      </c>
      <c r="AD23" s="8">
        <f t="shared" si="3"/>
        <v>0</v>
      </c>
      <c r="AE23" s="8">
        <f t="shared" si="3"/>
        <v>0</v>
      </c>
      <c r="AF23" s="8">
        <f t="shared" si="3"/>
        <v>28</v>
      </c>
      <c r="AG23" s="8">
        <f t="shared" si="3"/>
        <v>28</v>
      </c>
      <c r="AH23" s="8">
        <f t="shared" si="3"/>
        <v>27.6</v>
      </c>
      <c r="AI23" s="8">
        <f t="shared" si="3"/>
        <v>27.6</v>
      </c>
      <c r="AJ23" s="8">
        <f t="shared" si="3"/>
        <v>28.299999999999997</v>
      </c>
      <c r="AK23" s="8">
        <f t="shared" si="3"/>
        <v>28.299999999999997</v>
      </c>
      <c r="AL23" s="8">
        <f t="shared" si="3"/>
        <v>29.4</v>
      </c>
      <c r="AM23" s="8">
        <f t="shared" si="3"/>
        <v>29.4</v>
      </c>
      <c r="AN23" s="8">
        <f t="shared" si="3"/>
        <v>30.5</v>
      </c>
      <c r="AO23" s="8">
        <f t="shared" si="3"/>
        <v>30.5</v>
      </c>
      <c r="AP23" s="8">
        <f t="shared" si="3"/>
        <v>30.700000000000003</v>
      </c>
      <c r="AQ23" s="8">
        <f t="shared" si="3"/>
        <v>30.700000000000003</v>
      </c>
    </row>
    <row r="24" spans="1:43" x14ac:dyDescent="0.2">
      <c r="A24" s="6" t="s">
        <v>66</v>
      </c>
      <c r="D24" s="8">
        <f t="shared" ref="D24:AQ24" si="4">D6-D13</f>
        <v>25.24</v>
      </c>
      <c r="E24" s="8">
        <f t="shared" si="4"/>
        <v>25.24</v>
      </c>
      <c r="F24" s="8">
        <f t="shared" si="4"/>
        <v>24.4</v>
      </c>
      <c r="G24" s="8">
        <f t="shared" si="4"/>
        <v>24.4</v>
      </c>
      <c r="H24" s="8">
        <f t="shared" si="4"/>
        <v>23.22</v>
      </c>
      <c r="I24" s="8">
        <f t="shared" si="4"/>
        <v>23.22</v>
      </c>
      <c r="J24" s="8">
        <f t="shared" si="4"/>
        <v>20.960000000000004</v>
      </c>
      <c r="K24" s="8">
        <f t="shared" si="4"/>
        <v>20.960000000000004</v>
      </c>
      <c r="L24" s="8">
        <f t="shared" si="4"/>
        <v>18.199999999999996</v>
      </c>
      <c r="M24" s="8">
        <f t="shared" si="4"/>
        <v>18.199999999999996</v>
      </c>
      <c r="N24" s="8">
        <f t="shared" si="4"/>
        <v>16.420000000000002</v>
      </c>
      <c r="O24" s="8">
        <f t="shared" si="4"/>
        <v>16.420000000000002</v>
      </c>
      <c r="P24" s="8">
        <f t="shared" si="4"/>
        <v>0</v>
      </c>
      <c r="Q24" s="8">
        <f t="shared" si="4"/>
        <v>0</v>
      </c>
      <c r="R24" s="8">
        <f t="shared" si="4"/>
        <v>18.100000000000001</v>
      </c>
      <c r="S24" s="8">
        <f t="shared" si="4"/>
        <v>18.100000000000001</v>
      </c>
      <c r="T24" s="8">
        <f t="shared" si="4"/>
        <v>19.399999999999999</v>
      </c>
      <c r="U24" s="8">
        <f t="shared" si="4"/>
        <v>19.399999999999999</v>
      </c>
      <c r="V24" s="8">
        <f t="shared" si="4"/>
        <v>20.34</v>
      </c>
      <c r="W24" s="8">
        <f t="shared" si="4"/>
        <v>20.34</v>
      </c>
      <c r="X24" s="8">
        <f t="shared" si="4"/>
        <v>20.100000000000001</v>
      </c>
      <c r="Y24" s="8">
        <f t="shared" si="4"/>
        <v>20.100000000000001</v>
      </c>
      <c r="Z24" s="8">
        <f t="shared" si="4"/>
        <v>0</v>
      </c>
      <c r="AA24" s="8">
        <f t="shared" si="4"/>
        <v>0</v>
      </c>
      <c r="AB24" s="8">
        <f t="shared" si="4"/>
        <v>21.480000000000004</v>
      </c>
      <c r="AC24" s="8">
        <f t="shared" si="4"/>
        <v>21.480000000000004</v>
      </c>
      <c r="AD24" s="8">
        <f t="shared" si="4"/>
        <v>0</v>
      </c>
      <c r="AE24" s="8">
        <f t="shared" si="4"/>
        <v>0</v>
      </c>
      <c r="AF24" s="8">
        <f t="shared" si="4"/>
        <v>22.700000000000003</v>
      </c>
      <c r="AG24" s="8">
        <f t="shared" si="4"/>
        <v>22.700000000000003</v>
      </c>
      <c r="AH24" s="8">
        <f t="shared" si="4"/>
        <v>23.04</v>
      </c>
      <c r="AI24" s="8">
        <f t="shared" si="4"/>
        <v>23.04</v>
      </c>
      <c r="AJ24" s="8">
        <f t="shared" si="4"/>
        <v>23.86</v>
      </c>
      <c r="AK24" s="8">
        <f t="shared" si="4"/>
        <v>23.86</v>
      </c>
      <c r="AL24" s="8">
        <f t="shared" si="4"/>
        <v>25</v>
      </c>
      <c r="AM24" s="8">
        <f t="shared" si="4"/>
        <v>25</v>
      </c>
      <c r="AN24" s="8">
        <f t="shared" si="4"/>
        <v>26.480000000000004</v>
      </c>
      <c r="AO24" s="8">
        <f t="shared" si="4"/>
        <v>26.480000000000004</v>
      </c>
      <c r="AP24" s="8">
        <f t="shared" si="4"/>
        <v>26.88</v>
      </c>
      <c r="AQ24" s="8">
        <f t="shared" si="4"/>
        <v>26.88</v>
      </c>
    </row>
    <row r="26" spans="1:43" x14ac:dyDescent="0.2">
      <c r="A26" s="6" t="s">
        <v>67</v>
      </c>
      <c r="D26" s="9">
        <f t="shared" ref="D26:AQ26" si="5">D5/D12</f>
        <v>4.384615384615385</v>
      </c>
      <c r="E26" s="9">
        <f t="shared" si="5"/>
        <v>4.384615384615385</v>
      </c>
      <c r="F26" s="9">
        <f t="shared" si="5"/>
        <v>5.8714285714285719</v>
      </c>
      <c r="G26" s="9">
        <f t="shared" si="5"/>
        <v>5.8714285714285719</v>
      </c>
      <c r="H26" s="9">
        <f t="shared" si="5"/>
        <v>6.532258064516129</v>
      </c>
      <c r="I26" s="9">
        <f t="shared" si="5"/>
        <v>6.532258064516129</v>
      </c>
      <c r="J26" s="9">
        <f t="shared" si="5"/>
        <v>7.0576923076923084</v>
      </c>
      <c r="K26" s="9">
        <f t="shared" si="5"/>
        <v>7.0576923076923084</v>
      </c>
      <c r="L26" s="9">
        <f t="shared" si="5"/>
        <v>6.7777777777777777</v>
      </c>
      <c r="M26" s="9">
        <f t="shared" si="5"/>
        <v>6.7777777777777777</v>
      </c>
      <c r="N26" s="9">
        <f t="shared" si="5"/>
        <v>6.5490196078431371</v>
      </c>
      <c r="O26" s="9">
        <f t="shared" si="5"/>
        <v>6.5490196078431371</v>
      </c>
      <c r="P26" s="9" t="e">
        <f t="shared" si="5"/>
        <v>#DIV/0!</v>
      </c>
      <c r="Q26" s="9" t="e">
        <f t="shared" si="5"/>
        <v>#DIV/0!</v>
      </c>
      <c r="R26" s="9">
        <f t="shared" si="5"/>
        <v>7.65</v>
      </c>
      <c r="S26" s="9">
        <f t="shared" si="5"/>
        <v>7.65</v>
      </c>
      <c r="T26" s="9">
        <f t="shared" si="5"/>
        <v>8.4444444444444446</v>
      </c>
      <c r="U26" s="9">
        <f t="shared" si="5"/>
        <v>8.4444444444444446</v>
      </c>
      <c r="V26" s="9">
        <f t="shared" si="5"/>
        <v>9.8275862068965516</v>
      </c>
      <c r="W26" s="9">
        <f t="shared" si="5"/>
        <v>9.8275862068965516</v>
      </c>
      <c r="X26" s="9">
        <f t="shared" si="5"/>
        <v>8.1714285714285726</v>
      </c>
      <c r="Y26" s="9">
        <f t="shared" si="5"/>
        <v>8.1714285714285726</v>
      </c>
      <c r="Z26" s="9" t="e">
        <f t="shared" si="5"/>
        <v>#DIV/0!</v>
      </c>
      <c r="AA26" s="9" t="e">
        <f t="shared" si="5"/>
        <v>#DIV/0!</v>
      </c>
      <c r="AB26" s="9">
        <f t="shared" si="5"/>
        <v>8.8529411764705888</v>
      </c>
      <c r="AC26" s="9">
        <f t="shared" si="5"/>
        <v>8.8529411764705888</v>
      </c>
      <c r="AD26" s="9" t="e">
        <f t="shared" si="5"/>
        <v>#DIV/0!</v>
      </c>
      <c r="AE26" s="9" t="e">
        <f t="shared" si="5"/>
        <v>#DIV/0!</v>
      </c>
      <c r="AF26" s="9">
        <f t="shared" si="5"/>
        <v>16.05</v>
      </c>
      <c r="AG26" s="9">
        <f t="shared" si="5"/>
        <v>16.05</v>
      </c>
      <c r="AH26" s="9">
        <f t="shared" si="5"/>
        <v>16.631578947368421</v>
      </c>
      <c r="AI26" s="9">
        <f t="shared" si="5"/>
        <v>16.631578947368421</v>
      </c>
      <c r="AJ26" s="9">
        <f t="shared" si="5"/>
        <v>16.149999999999999</v>
      </c>
      <c r="AK26" s="9">
        <f t="shared" si="5"/>
        <v>16.149999999999999</v>
      </c>
      <c r="AL26" s="9">
        <f t="shared" si="5"/>
        <v>14.782608695652176</v>
      </c>
      <c r="AM26" s="9">
        <f t="shared" si="5"/>
        <v>14.782608695652176</v>
      </c>
      <c r="AN26" s="9">
        <f t="shared" si="5"/>
        <v>18.105263157894736</v>
      </c>
      <c r="AO26" s="9">
        <f t="shared" si="5"/>
        <v>18.105263157894736</v>
      </c>
      <c r="AP26" s="9">
        <f t="shared" si="5"/>
        <v>20.411764705882355</v>
      </c>
      <c r="AQ26" s="9">
        <f t="shared" si="5"/>
        <v>20.411764705882355</v>
      </c>
    </row>
    <row r="27" spans="1:43" x14ac:dyDescent="0.2">
      <c r="A27" s="6" t="s">
        <v>68</v>
      </c>
      <c r="D27" s="9">
        <f>AVERAGE(D26:D26)</f>
        <v>4.384615384615385</v>
      </c>
      <c r="E27" s="9">
        <f>AVERAGE(D26:E26)</f>
        <v>4.384615384615385</v>
      </c>
      <c r="F27" s="9">
        <f>AVERAGE(D26:F26)</f>
        <v>4.8802197802197806</v>
      </c>
      <c r="G27" s="9">
        <f t="shared" ref="G27:W27" si="6">AVERAGE(D26:G26)</f>
        <v>5.1280219780219785</v>
      </c>
      <c r="H27" s="9">
        <f t="shared" si="6"/>
        <v>5.6649326479971638</v>
      </c>
      <c r="I27" s="9">
        <f t="shared" si="6"/>
        <v>6.20184331797235</v>
      </c>
      <c r="J27" s="9">
        <f t="shared" si="6"/>
        <v>6.4984092520382841</v>
      </c>
      <c r="K27" s="9">
        <f t="shared" si="6"/>
        <v>6.7949751861042191</v>
      </c>
      <c r="L27" s="9">
        <f t="shared" si="6"/>
        <v>6.8563551144196317</v>
      </c>
      <c r="M27" s="9">
        <f t="shared" si="6"/>
        <v>6.9177350427350435</v>
      </c>
      <c r="N27" s="9">
        <f t="shared" si="6"/>
        <v>6.7905668677727498</v>
      </c>
      <c r="O27" s="9">
        <f t="shared" si="6"/>
        <v>6.6633986928104569</v>
      </c>
      <c r="P27" s="9" t="e">
        <f t="shared" si="6"/>
        <v>#DIV/0!</v>
      </c>
      <c r="Q27" s="9" t="e">
        <f t="shared" si="6"/>
        <v>#DIV/0!</v>
      </c>
      <c r="R27" s="9" t="e">
        <f t="shared" si="6"/>
        <v>#DIV/0!</v>
      </c>
      <c r="S27" s="9" t="e">
        <f t="shared" si="6"/>
        <v>#DIV/0!</v>
      </c>
      <c r="T27" s="9" t="e">
        <f t="shared" si="6"/>
        <v>#DIV/0!</v>
      </c>
      <c r="U27" s="9">
        <f t="shared" si="6"/>
        <v>8.0472222222222225</v>
      </c>
      <c r="V27" s="9">
        <f t="shared" ref="V27" si="7">AVERAGE(S26:V26)</f>
        <v>8.5916187739463616</v>
      </c>
      <c r="W27" s="9">
        <f t="shared" ref="W27" si="8">AVERAGE(T26:W26)</f>
        <v>9.136015325670499</v>
      </c>
      <c r="X27" s="9">
        <f t="shared" ref="X27" si="9">AVERAGE(U26:X26)</f>
        <v>9.067761357416531</v>
      </c>
      <c r="Y27" s="9">
        <f t="shared" ref="Y27" si="10">AVERAGE(V26:Y26)</f>
        <v>8.9995073891625612</v>
      </c>
      <c r="Z27" s="9" t="e">
        <f t="shared" ref="Z27" si="11">AVERAGE(W26:Z26)</f>
        <v>#DIV/0!</v>
      </c>
      <c r="AA27" s="9" t="e">
        <f t="shared" ref="AA27" si="12">AVERAGE(X26:AA26)</f>
        <v>#DIV/0!</v>
      </c>
      <c r="AB27" s="9" t="e">
        <f t="shared" ref="AB27" si="13">AVERAGE(Y26:AB26)</f>
        <v>#DIV/0!</v>
      </c>
      <c r="AC27" s="9" t="e">
        <f t="shared" ref="AC27" si="14">AVERAGE(Z26:AC26)</f>
        <v>#DIV/0!</v>
      </c>
      <c r="AD27" s="9" t="e">
        <f t="shared" ref="AD27" si="15">AVERAGE(AA26:AD26)</f>
        <v>#DIV/0!</v>
      </c>
      <c r="AE27" s="9" t="e">
        <f t="shared" ref="AE27" si="16">AVERAGE(AB26:AE26)</f>
        <v>#DIV/0!</v>
      </c>
      <c r="AF27" s="9" t="e">
        <f t="shared" ref="AF27" si="17">AVERAGE(AC26:AF26)</f>
        <v>#DIV/0!</v>
      </c>
      <c r="AG27" s="9" t="e">
        <f t="shared" ref="AG27" si="18">AVERAGE(AD26:AG26)</f>
        <v>#DIV/0!</v>
      </c>
      <c r="AH27" s="9" t="e">
        <f t="shared" ref="AH27" si="19">AVERAGE(AE26:AH26)</f>
        <v>#DIV/0!</v>
      </c>
      <c r="AI27" s="9">
        <f t="shared" ref="AI27" si="20">AVERAGE(AF26:AI26)</f>
        <v>16.340789473684211</v>
      </c>
      <c r="AJ27" s="9">
        <f t="shared" ref="AJ27" si="21">AVERAGE(AG26:AJ26)</f>
        <v>16.36578947368421</v>
      </c>
      <c r="AK27" s="9">
        <f t="shared" ref="AK27" si="22">AVERAGE(AH26:AK26)</f>
        <v>16.390789473684208</v>
      </c>
      <c r="AL27" s="9">
        <f t="shared" ref="AL27" si="23">AVERAGE(AI26:AL26)</f>
        <v>15.928546910755149</v>
      </c>
      <c r="AM27" s="9">
        <f t="shared" ref="AM27" si="24">AVERAGE(AJ26:AM26)</f>
        <v>15.466304347826085</v>
      </c>
      <c r="AN27" s="9">
        <f t="shared" ref="AN27" si="25">AVERAGE(AK26:AN26)</f>
        <v>15.955120137299772</v>
      </c>
      <c r="AO27" s="9">
        <f t="shared" ref="AO27" si="26">AVERAGE(AL26:AO26)</f>
        <v>16.443935926773456</v>
      </c>
      <c r="AP27" s="9">
        <f t="shared" ref="AP27" si="27">AVERAGE(AM26:AP26)</f>
        <v>17.851224929331003</v>
      </c>
      <c r="AQ27" s="9">
        <f t="shared" ref="AQ27" si="28">AVERAGE(AN26:AQ26)</f>
        <v>19.258513931888544</v>
      </c>
    </row>
    <row r="29" spans="1:43" x14ac:dyDescent="0.2">
      <c r="A29" s="6" t="s">
        <v>69</v>
      </c>
      <c r="D29" s="9">
        <f t="shared" ref="D29:AQ29" si="29">D18/D20</f>
        <v>16.441176470588239</v>
      </c>
      <c r="E29" s="9">
        <f t="shared" si="29"/>
        <v>16.441176470588239</v>
      </c>
      <c r="F29" s="9">
        <f t="shared" si="29"/>
        <v>15.857142857142856</v>
      </c>
      <c r="G29" s="9">
        <f t="shared" si="29"/>
        <v>15.857142857142856</v>
      </c>
      <c r="H29" s="9">
        <f t="shared" si="29"/>
        <v>15.25</v>
      </c>
      <c r="I29" s="9">
        <f t="shared" si="29"/>
        <v>15.25</v>
      </c>
      <c r="J29" s="9">
        <f t="shared" si="29"/>
        <v>13.763157894736842</v>
      </c>
      <c r="K29" s="9">
        <f t="shared" si="29"/>
        <v>13.763157894736842</v>
      </c>
      <c r="L29" s="9">
        <f t="shared" si="29"/>
        <v>12.918918918918918</v>
      </c>
      <c r="M29" s="9">
        <f t="shared" si="29"/>
        <v>12.918918918918918</v>
      </c>
      <c r="N29" s="9" t="e">
        <f t="shared" si="29"/>
        <v>#DIV/0!</v>
      </c>
      <c r="O29" s="9">
        <f t="shared" si="29"/>
        <v>11.405405405405403</v>
      </c>
      <c r="P29" s="9">
        <f t="shared" si="29"/>
        <v>0</v>
      </c>
      <c r="Q29" s="9">
        <f t="shared" si="29"/>
        <v>0</v>
      </c>
      <c r="R29" s="9">
        <f t="shared" si="29"/>
        <v>10.891891891891893</v>
      </c>
      <c r="S29" s="9">
        <f t="shared" si="29"/>
        <v>10.891891891891893</v>
      </c>
      <c r="T29" s="9">
        <f t="shared" si="29"/>
        <v>10.694444444444446</v>
      </c>
      <c r="U29" s="9">
        <f t="shared" si="29"/>
        <v>10.694444444444446</v>
      </c>
      <c r="V29" s="9">
        <f t="shared" si="29"/>
        <v>10.111111111111111</v>
      </c>
      <c r="W29" s="9">
        <f t="shared" si="29"/>
        <v>10.111111111111111</v>
      </c>
      <c r="X29" s="9">
        <f t="shared" si="29"/>
        <v>9.7222222222222214</v>
      </c>
      <c r="Y29" s="9">
        <f t="shared" si="29"/>
        <v>9.7222222222222214</v>
      </c>
      <c r="Z29" s="9" t="e">
        <f t="shared" si="29"/>
        <v>#DIV/0!</v>
      </c>
      <c r="AA29" s="9" t="e">
        <f t="shared" si="29"/>
        <v>#DIV/0!</v>
      </c>
      <c r="AB29" s="9">
        <f t="shared" si="29"/>
        <v>7.9777777777777779</v>
      </c>
      <c r="AC29" s="9">
        <f t="shared" si="29"/>
        <v>7.9777777777777779</v>
      </c>
      <c r="AD29" s="9" t="e">
        <f t="shared" si="29"/>
        <v>#DIV/0!</v>
      </c>
      <c r="AE29" s="9" t="e">
        <f t="shared" si="29"/>
        <v>#DIV/0!</v>
      </c>
      <c r="AF29" s="9">
        <f t="shared" si="29"/>
        <v>9.8918918918918912</v>
      </c>
      <c r="AG29" s="9">
        <f t="shared" si="29"/>
        <v>9.8918918918918912</v>
      </c>
      <c r="AH29" s="9">
        <f t="shared" si="29"/>
        <v>9.4210526315789469</v>
      </c>
      <c r="AI29" s="9">
        <f t="shared" si="29"/>
        <v>9.4210526315789469</v>
      </c>
      <c r="AJ29" s="9">
        <f t="shared" si="29"/>
        <v>9.526315789473685</v>
      </c>
      <c r="AK29" s="9">
        <f t="shared" si="29"/>
        <v>9.526315789473685</v>
      </c>
      <c r="AL29" s="9">
        <f t="shared" si="29"/>
        <v>10.361111111111111</v>
      </c>
      <c r="AM29" s="9">
        <f t="shared" si="29"/>
        <v>10.361111111111111</v>
      </c>
      <c r="AN29" s="9">
        <f t="shared" si="29"/>
        <v>10.297297297297296</v>
      </c>
      <c r="AO29" s="9">
        <f t="shared" si="29"/>
        <v>10.297297297297296</v>
      </c>
      <c r="AP29" s="9">
        <f t="shared" si="29"/>
        <v>9.7435897435897445</v>
      </c>
      <c r="AQ29" s="9">
        <f t="shared" si="29"/>
        <v>9.7435897435897445</v>
      </c>
    </row>
    <row r="30" spans="1:43" x14ac:dyDescent="0.2">
      <c r="B30" s="10" t="s">
        <v>70</v>
      </c>
      <c r="C30" s="10"/>
      <c r="D30" s="11"/>
      <c r="E30" s="11">
        <f t="shared" ref="E30:W30" si="30">E29/D29-1</f>
        <v>0</v>
      </c>
      <c r="F30" s="11">
        <f t="shared" si="30"/>
        <v>-3.5522616917966099E-2</v>
      </c>
      <c r="G30" s="11">
        <f t="shared" si="30"/>
        <v>0</v>
      </c>
      <c r="H30" s="11">
        <f t="shared" si="30"/>
        <v>-3.828828828828823E-2</v>
      </c>
      <c r="I30" s="11">
        <f t="shared" si="30"/>
        <v>0</v>
      </c>
      <c r="J30" s="11">
        <f t="shared" si="30"/>
        <v>-9.7497842968075954E-2</v>
      </c>
      <c r="K30" s="11">
        <f t="shared" si="30"/>
        <v>0</v>
      </c>
      <c r="L30" s="11">
        <f t="shared" si="30"/>
        <v>-6.134049919900797E-2</v>
      </c>
      <c r="M30" s="11">
        <f t="shared" si="30"/>
        <v>0</v>
      </c>
      <c r="N30" s="11" t="e">
        <f t="shared" si="30"/>
        <v>#DIV/0!</v>
      </c>
      <c r="O30" s="11" t="e">
        <f t="shared" si="30"/>
        <v>#DIV/0!</v>
      </c>
      <c r="P30" s="11">
        <f t="shared" si="30"/>
        <v>-1</v>
      </c>
      <c r="Q30" s="11" t="e">
        <f t="shared" si="30"/>
        <v>#DIV/0!</v>
      </c>
      <c r="R30" s="11" t="e">
        <f t="shared" si="30"/>
        <v>#DIV/0!</v>
      </c>
      <c r="S30" s="11">
        <f t="shared" si="30"/>
        <v>0</v>
      </c>
      <c r="T30" s="11">
        <f t="shared" si="30"/>
        <v>-1.812792941825192E-2</v>
      </c>
      <c r="U30" s="11">
        <f t="shared" si="30"/>
        <v>0</v>
      </c>
      <c r="V30" s="11">
        <f t="shared" si="30"/>
        <v>-5.4545454545454786E-2</v>
      </c>
      <c r="W30" s="11">
        <f t="shared" si="30"/>
        <v>0</v>
      </c>
      <c r="X30" s="11">
        <f>X29/V29-1</f>
        <v>-3.8461538461538547E-2</v>
      </c>
      <c r="Y30" s="11">
        <f>Y29/V29-1</f>
        <v>-3.8461538461538547E-2</v>
      </c>
      <c r="Z30" s="11" t="e">
        <f>Z29/V29-1</f>
        <v>#DIV/0!</v>
      </c>
      <c r="AA30" s="11" t="e">
        <f>AA29/V29-1</f>
        <v>#DIV/0!</v>
      </c>
      <c r="AB30" s="11">
        <f>AB29/V29-1</f>
        <v>-0.21098901098901091</v>
      </c>
      <c r="AC30" s="11">
        <f>AC29/V29-1</f>
        <v>-0.21098901098901091</v>
      </c>
      <c r="AD30" s="11" t="e">
        <f>AD29/V29-1</f>
        <v>#DIV/0!</v>
      </c>
      <c r="AE30" s="11" t="e">
        <f>AE29/V29-1</f>
        <v>#DIV/0!</v>
      </c>
      <c r="AF30" s="11">
        <f>AF29/V29-1</f>
        <v>-2.1681021681021706E-2</v>
      </c>
      <c r="AG30" s="11">
        <f>AG29/V29-1</f>
        <v>-2.1681021681021706E-2</v>
      </c>
      <c r="AH30" s="11">
        <f>AH29/V29-1</f>
        <v>-6.824754193175242E-2</v>
      </c>
      <c r="AI30" s="11">
        <f>AI29/V29-1</f>
        <v>-6.824754193175242E-2</v>
      </c>
      <c r="AJ30" s="11">
        <f>AJ29/V29-1</f>
        <v>-5.7836899942163011E-2</v>
      </c>
      <c r="AK30" s="11">
        <f>AK29/V29-1</f>
        <v>-5.7836899942163011E-2</v>
      </c>
      <c r="AL30" s="11">
        <f>AL29/V29-1</f>
        <v>2.4725274725274637E-2</v>
      </c>
      <c r="AM30" s="11">
        <f>AM29/V29-1</f>
        <v>2.4725274725274637E-2</v>
      </c>
      <c r="AN30" s="11">
        <f>AN29/V29-1</f>
        <v>1.8414018414018463E-2</v>
      </c>
      <c r="AO30" s="11">
        <f>AO29/V29-1</f>
        <v>1.8414018414018463E-2</v>
      </c>
      <c r="AP30" s="11">
        <f>AP29/V29-1</f>
        <v>-3.6348267117497723E-2</v>
      </c>
      <c r="AQ30" s="11">
        <f>AQ29/V29-1</f>
        <v>-3.6348267117497723E-2</v>
      </c>
    </row>
    <row r="31" spans="1:43" x14ac:dyDescent="0.2">
      <c r="B31" s="10" t="s">
        <v>71</v>
      </c>
      <c r="C31" s="10"/>
      <c r="D31" s="11"/>
      <c r="E31" s="11"/>
      <c r="F31" s="11"/>
      <c r="G31" s="11">
        <f t="shared" ref="G31:W31" si="31">G29/D29-1</f>
        <v>-3.5522616917966099E-2</v>
      </c>
      <c r="H31" s="11">
        <f t="shared" si="31"/>
        <v>-7.2450805008944741E-2</v>
      </c>
      <c r="I31" s="11">
        <f t="shared" si="31"/>
        <v>-3.828828828828823E-2</v>
      </c>
      <c r="J31" s="11">
        <f t="shared" si="31"/>
        <v>-0.13205310573731621</v>
      </c>
      <c r="K31" s="11">
        <f t="shared" si="31"/>
        <v>-9.7497842968075954E-2</v>
      </c>
      <c r="L31" s="11">
        <f t="shared" si="31"/>
        <v>-0.15285777580859561</v>
      </c>
      <c r="M31" s="11">
        <f t="shared" si="31"/>
        <v>-6.134049919900797E-2</v>
      </c>
      <c r="N31" s="11" t="e">
        <f t="shared" si="31"/>
        <v>#DIV/0!</v>
      </c>
      <c r="O31" s="11">
        <f t="shared" si="31"/>
        <v>-0.11715481171548126</v>
      </c>
      <c r="P31" s="11">
        <f t="shared" si="31"/>
        <v>-1</v>
      </c>
      <c r="Q31" s="11" t="e">
        <f t="shared" si="31"/>
        <v>#DIV/0!</v>
      </c>
      <c r="R31" s="11">
        <f t="shared" si="31"/>
        <v>-4.5023696682464198E-2</v>
      </c>
      <c r="S31" s="11" t="e">
        <f t="shared" si="31"/>
        <v>#DIV/0!</v>
      </c>
      <c r="T31" s="11" t="e">
        <f t="shared" si="31"/>
        <v>#DIV/0!</v>
      </c>
      <c r="U31" s="11">
        <f t="shared" si="31"/>
        <v>-1.812792941825192E-2</v>
      </c>
      <c r="V31" s="11">
        <f t="shared" si="31"/>
        <v>-7.1684587813620193E-2</v>
      </c>
      <c r="W31" s="11">
        <f t="shared" si="31"/>
        <v>-5.4545454545454786E-2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4" spans="1:45" x14ac:dyDescent="0.2">
      <c r="A34" s="6" t="s">
        <v>72</v>
      </c>
      <c r="D34" s="9">
        <f t="shared" ref="D34:AQ34" si="32">D23/D20</f>
        <v>10.235294117647058</v>
      </c>
      <c r="E34" s="9">
        <f t="shared" si="32"/>
        <v>10.235294117647058</v>
      </c>
      <c r="F34" s="9">
        <f t="shared" si="32"/>
        <v>9.5714285714285712</v>
      </c>
      <c r="G34" s="9">
        <f t="shared" si="32"/>
        <v>9.5714285714285712</v>
      </c>
      <c r="H34" s="9">
        <f t="shared" si="32"/>
        <v>9</v>
      </c>
      <c r="I34" s="9">
        <f t="shared" si="32"/>
        <v>9</v>
      </c>
      <c r="J34" s="9">
        <f t="shared" si="32"/>
        <v>7.7631578947368434</v>
      </c>
      <c r="K34" s="9">
        <f t="shared" si="32"/>
        <v>7.7631578947368434</v>
      </c>
      <c r="L34" s="9">
        <f t="shared" si="32"/>
        <v>7.1621621621621614</v>
      </c>
      <c r="M34" s="9">
        <f t="shared" si="32"/>
        <v>7.1621621621621614</v>
      </c>
      <c r="N34" s="9" t="e">
        <f t="shared" si="32"/>
        <v>#DIV/0!</v>
      </c>
      <c r="O34" s="9">
        <f t="shared" si="32"/>
        <v>6.5675675675675667</v>
      </c>
      <c r="P34" s="9">
        <f t="shared" si="32"/>
        <v>0</v>
      </c>
      <c r="Q34" s="9">
        <f t="shared" si="32"/>
        <v>0</v>
      </c>
      <c r="R34" s="9">
        <f t="shared" si="32"/>
        <v>6.5675675675675675</v>
      </c>
      <c r="S34" s="57">
        <f t="shared" si="32"/>
        <v>6.5675675675675675</v>
      </c>
      <c r="T34" s="57">
        <f t="shared" si="32"/>
        <v>6.9444444444444446</v>
      </c>
      <c r="U34" s="9">
        <f t="shared" si="32"/>
        <v>6.9444444444444446</v>
      </c>
      <c r="V34" s="9">
        <f t="shared" si="32"/>
        <v>6.7222222222222214</v>
      </c>
      <c r="W34" s="9">
        <f t="shared" si="32"/>
        <v>6.7222222222222214</v>
      </c>
      <c r="X34" s="9">
        <f t="shared" si="32"/>
        <v>6.6666666666666661</v>
      </c>
      <c r="Y34" s="9">
        <f t="shared" si="32"/>
        <v>6.6666666666666661</v>
      </c>
      <c r="Z34" s="9" t="e">
        <f t="shared" si="32"/>
        <v>#DIV/0!</v>
      </c>
      <c r="AA34" s="9" t="e">
        <f t="shared" si="32"/>
        <v>#DIV/0!</v>
      </c>
      <c r="AB34" s="9">
        <f t="shared" si="32"/>
        <v>5.7777777777777777</v>
      </c>
      <c r="AC34" s="9">
        <f t="shared" si="32"/>
        <v>5.7777777777777777</v>
      </c>
      <c r="AD34" s="9" t="e">
        <f t="shared" si="32"/>
        <v>#DIV/0!</v>
      </c>
      <c r="AE34" s="9" t="e">
        <f t="shared" si="32"/>
        <v>#DIV/0!</v>
      </c>
      <c r="AF34" s="9">
        <f t="shared" si="32"/>
        <v>7.5675675675675675</v>
      </c>
      <c r="AG34" s="9">
        <f t="shared" si="32"/>
        <v>7.5675675675675675</v>
      </c>
      <c r="AH34" s="9">
        <f t="shared" si="32"/>
        <v>7.2631578947368425</v>
      </c>
      <c r="AI34" s="9">
        <f t="shared" si="32"/>
        <v>7.2631578947368425</v>
      </c>
      <c r="AJ34" s="9">
        <f t="shared" si="32"/>
        <v>7.447368421052631</v>
      </c>
      <c r="AK34" s="9">
        <f t="shared" si="32"/>
        <v>7.447368421052631</v>
      </c>
      <c r="AL34" s="9">
        <f t="shared" si="32"/>
        <v>8.1666666666666661</v>
      </c>
      <c r="AM34" s="9">
        <f t="shared" si="32"/>
        <v>8.1666666666666661</v>
      </c>
      <c r="AN34" s="9">
        <f t="shared" si="32"/>
        <v>8.2432432432432421</v>
      </c>
      <c r="AO34" s="9">
        <f t="shared" si="32"/>
        <v>8.2432432432432421</v>
      </c>
      <c r="AP34" s="9">
        <f t="shared" si="32"/>
        <v>7.8717948717948731</v>
      </c>
      <c r="AQ34" s="9">
        <f t="shared" si="32"/>
        <v>7.8717948717948731</v>
      </c>
    </row>
    <row r="35" spans="1:45" s="10" customFormat="1" x14ac:dyDescent="0.2">
      <c r="B35" s="10" t="s">
        <v>70</v>
      </c>
      <c r="D35" s="11"/>
      <c r="E35" s="11">
        <f t="shared" ref="E35:AQ35" si="33">E34/D34-1</f>
        <v>0</v>
      </c>
      <c r="F35" s="11">
        <f t="shared" si="33"/>
        <v>-6.4860426929392423E-2</v>
      </c>
      <c r="G35" s="11">
        <f t="shared" si="33"/>
        <v>0</v>
      </c>
      <c r="H35" s="11">
        <f t="shared" si="33"/>
        <v>-5.9701492537313383E-2</v>
      </c>
      <c r="I35" s="11">
        <f t="shared" si="33"/>
        <v>0</v>
      </c>
      <c r="J35" s="11">
        <f t="shared" si="33"/>
        <v>-0.13742690058479523</v>
      </c>
      <c r="K35" s="11">
        <f t="shared" si="33"/>
        <v>0</v>
      </c>
      <c r="L35" s="11">
        <f t="shared" si="33"/>
        <v>-7.741639945029799E-2</v>
      </c>
      <c r="M35" s="11">
        <f t="shared" si="33"/>
        <v>0</v>
      </c>
      <c r="N35" s="11" t="e">
        <f t="shared" si="33"/>
        <v>#DIV/0!</v>
      </c>
      <c r="O35" s="11" t="e">
        <f t="shared" si="33"/>
        <v>#DIV/0!</v>
      </c>
      <c r="P35" s="11">
        <f t="shared" si="33"/>
        <v>-1</v>
      </c>
      <c r="Q35" s="11" t="e">
        <f t="shared" si="33"/>
        <v>#DIV/0!</v>
      </c>
      <c r="R35" s="58" t="e">
        <f t="shared" si="33"/>
        <v>#DIV/0!</v>
      </c>
      <c r="S35" s="58">
        <f t="shared" si="33"/>
        <v>0</v>
      </c>
      <c r="T35" s="11">
        <f t="shared" si="33"/>
        <v>5.7384545038866142E-2</v>
      </c>
      <c r="U35" s="11">
        <f t="shared" si="33"/>
        <v>0</v>
      </c>
      <c r="V35" s="11">
        <f t="shared" si="33"/>
        <v>-3.2000000000000139E-2</v>
      </c>
      <c r="W35" s="11">
        <f t="shared" si="33"/>
        <v>0</v>
      </c>
      <c r="X35" s="11">
        <f t="shared" si="33"/>
        <v>-8.2644628099173278E-3</v>
      </c>
      <c r="Y35" s="11">
        <f t="shared" si="33"/>
        <v>0</v>
      </c>
      <c r="Z35" s="11" t="e">
        <f t="shared" si="33"/>
        <v>#DIV/0!</v>
      </c>
      <c r="AA35" s="11" t="e">
        <f t="shared" si="33"/>
        <v>#DIV/0!</v>
      </c>
      <c r="AB35" s="11" t="e">
        <f t="shared" si="33"/>
        <v>#DIV/0!</v>
      </c>
      <c r="AC35" s="11">
        <f t="shared" si="33"/>
        <v>0</v>
      </c>
      <c r="AD35" s="11" t="e">
        <f t="shared" si="33"/>
        <v>#DIV/0!</v>
      </c>
      <c r="AE35" s="11" t="e">
        <f t="shared" si="33"/>
        <v>#DIV/0!</v>
      </c>
      <c r="AF35" s="11" t="e">
        <f t="shared" si="33"/>
        <v>#DIV/0!</v>
      </c>
      <c r="AG35" s="11">
        <f t="shared" si="33"/>
        <v>0</v>
      </c>
      <c r="AH35" s="11">
        <f t="shared" si="33"/>
        <v>-4.0225563909774387E-2</v>
      </c>
      <c r="AI35" s="11">
        <f t="shared" si="33"/>
        <v>0</v>
      </c>
      <c r="AJ35" s="11">
        <f t="shared" si="33"/>
        <v>2.5362318840579601E-2</v>
      </c>
      <c r="AK35" s="11">
        <f t="shared" si="33"/>
        <v>0</v>
      </c>
      <c r="AL35" s="11">
        <f t="shared" si="33"/>
        <v>9.6584216725559502E-2</v>
      </c>
      <c r="AM35" s="11">
        <f t="shared" si="33"/>
        <v>0</v>
      </c>
      <c r="AN35" s="11">
        <f t="shared" si="33"/>
        <v>9.3767236624378025E-3</v>
      </c>
      <c r="AO35" s="11">
        <f t="shared" si="33"/>
        <v>0</v>
      </c>
      <c r="AP35" s="11">
        <f t="shared" si="33"/>
        <v>-4.5060949978982467E-2</v>
      </c>
      <c r="AQ35" s="11">
        <f t="shared" si="33"/>
        <v>0</v>
      </c>
    </row>
    <row r="36" spans="1:45" s="10" customFormat="1" x14ac:dyDescent="0.2">
      <c r="B36" s="10" t="s">
        <v>71</v>
      </c>
      <c r="D36" s="11"/>
      <c r="E36" s="11"/>
      <c r="F36" s="11"/>
      <c r="G36" s="11"/>
      <c r="H36" s="11">
        <f t="shared" ref="H36:AQ36" si="34">H34/D34-1</f>
        <v>-0.1206896551724137</v>
      </c>
      <c r="I36" s="11">
        <f t="shared" si="34"/>
        <v>-0.1206896551724137</v>
      </c>
      <c r="J36" s="11">
        <f t="shared" si="34"/>
        <v>-0.18892380204241932</v>
      </c>
      <c r="K36" s="11">
        <f t="shared" si="34"/>
        <v>-0.18892380204241932</v>
      </c>
      <c r="L36" s="11">
        <f t="shared" si="34"/>
        <v>-0.20420420420420426</v>
      </c>
      <c r="M36" s="11">
        <f t="shared" si="34"/>
        <v>-0.20420420420420426</v>
      </c>
      <c r="N36" s="11" t="e">
        <f t="shared" si="34"/>
        <v>#DIV/0!</v>
      </c>
      <c r="O36" s="11">
        <f t="shared" si="34"/>
        <v>-0.15400824553366954</v>
      </c>
      <c r="P36" s="11">
        <f t="shared" si="34"/>
        <v>-1</v>
      </c>
      <c r="Q36" s="11">
        <f t="shared" si="34"/>
        <v>-1</v>
      </c>
      <c r="R36" s="11" t="e">
        <f t="shared" si="34"/>
        <v>#DIV/0!</v>
      </c>
      <c r="S36" s="11">
        <f t="shared" si="34"/>
        <v>0</v>
      </c>
      <c r="T36" s="11" t="e">
        <f t="shared" si="34"/>
        <v>#DIV/0!</v>
      </c>
      <c r="U36" s="11" t="e">
        <f t="shared" si="34"/>
        <v>#DIV/0!</v>
      </c>
      <c r="V36" s="11">
        <f t="shared" si="34"/>
        <v>2.3548239597622089E-2</v>
      </c>
      <c r="W36" s="11">
        <f t="shared" si="34"/>
        <v>2.3548239597622089E-2</v>
      </c>
      <c r="X36" s="11">
        <f t="shared" si="34"/>
        <v>-4.0000000000000147E-2</v>
      </c>
      <c r="Y36" s="11">
        <f t="shared" si="34"/>
        <v>-4.0000000000000147E-2</v>
      </c>
      <c r="Z36" s="11" t="e">
        <f t="shared" si="34"/>
        <v>#DIV/0!</v>
      </c>
      <c r="AA36" s="11" t="e">
        <f t="shared" si="34"/>
        <v>#DIV/0!</v>
      </c>
      <c r="AB36" s="11">
        <f t="shared" si="34"/>
        <v>-0.1333333333333333</v>
      </c>
      <c r="AC36" s="11">
        <f t="shared" si="34"/>
        <v>-0.1333333333333333</v>
      </c>
      <c r="AD36" s="11" t="e">
        <f t="shared" si="34"/>
        <v>#DIV/0!</v>
      </c>
      <c r="AE36" s="11" t="e">
        <f t="shared" si="34"/>
        <v>#DIV/0!</v>
      </c>
      <c r="AF36" s="11">
        <f t="shared" si="34"/>
        <v>0.30977130977130973</v>
      </c>
      <c r="AG36" s="11">
        <f t="shared" si="34"/>
        <v>0.30977130977130973</v>
      </c>
      <c r="AH36" s="11" t="e">
        <f t="shared" si="34"/>
        <v>#DIV/0!</v>
      </c>
      <c r="AI36" s="11" t="e">
        <f t="shared" si="34"/>
        <v>#DIV/0!</v>
      </c>
      <c r="AJ36" s="11">
        <f t="shared" si="34"/>
        <v>-1.5883458646616666E-2</v>
      </c>
      <c r="AK36" s="11">
        <f t="shared" si="34"/>
        <v>-1.5883458646616666E-2</v>
      </c>
      <c r="AL36" s="11">
        <f t="shared" si="34"/>
        <v>0.12439613526570037</v>
      </c>
      <c r="AM36" s="11">
        <f t="shared" si="34"/>
        <v>0.12439613526570037</v>
      </c>
      <c r="AN36" s="11">
        <f t="shared" si="34"/>
        <v>0.10686658389838599</v>
      </c>
      <c r="AO36" s="11">
        <f t="shared" si="34"/>
        <v>0.10686658389838599</v>
      </c>
      <c r="AP36" s="11">
        <f t="shared" si="34"/>
        <v>-3.6106750392464471E-2</v>
      </c>
      <c r="AQ36" s="11">
        <f t="shared" si="34"/>
        <v>-3.6106750392464471E-2</v>
      </c>
    </row>
    <row r="37" spans="1:45" s="10" customFormat="1" x14ac:dyDescent="0.2"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45" s="10" customFormat="1" x14ac:dyDescent="0.2">
      <c r="A38" s="6" t="s">
        <v>73</v>
      </c>
      <c r="D38" s="9">
        <f t="shared" ref="D38:AQ38" si="35">D24/D20</f>
        <v>7.4235294117647053</v>
      </c>
      <c r="E38" s="9">
        <f t="shared" si="35"/>
        <v>7.4235294117647053</v>
      </c>
      <c r="F38" s="9">
        <f t="shared" si="35"/>
        <v>6.9714285714285706</v>
      </c>
      <c r="G38" s="9">
        <f t="shared" si="35"/>
        <v>6.9714285714285706</v>
      </c>
      <c r="H38" s="9">
        <f t="shared" si="35"/>
        <v>6.4499999999999993</v>
      </c>
      <c r="I38" s="9">
        <f t="shared" si="35"/>
        <v>6.4499999999999993</v>
      </c>
      <c r="J38" s="9">
        <f t="shared" si="35"/>
        <v>5.5157894736842117</v>
      </c>
      <c r="K38" s="9">
        <f t="shared" si="35"/>
        <v>5.5157894736842117</v>
      </c>
      <c r="L38" s="9">
        <f t="shared" si="35"/>
        <v>4.9189189189189175</v>
      </c>
      <c r="M38" s="9">
        <f t="shared" si="35"/>
        <v>4.9189189189189175</v>
      </c>
      <c r="N38" s="9" t="e">
        <f t="shared" si="35"/>
        <v>#DIV/0!</v>
      </c>
      <c r="O38" s="9">
        <f t="shared" si="35"/>
        <v>4.4378378378378383</v>
      </c>
      <c r="P38" s="9">
        <f t="shared" si="35"/>
        <v>0</v>
      </c>
      <c r="Q38" s="9">
        <f t="shared" si="35"/>
        <v>0</v>
      </c>
      <c r="R38" s="9">
        <f t="shared" si="35"/>
        <v>4.8918918918918921</v>
      </c>
      <c r="S38" s="9">
        <f t="shared" si="35"/>
        <v>4.8918918918918921</v>
      </c>
      <c r="T38" s="9">
        <f t="shared" si="35"/>
        <v>5.3888888888888884</v>
      </c>
      <c r="U38" s="9">
        <f t="shared" si="35"/>
        <v>5.3888888888888884</v>
      </c>
      <c r="V38" s="9">
        <f t="shared" si="35"/>
        <v>5.6499999999999995</v>
      </c>
      <c r="W38" s="9">
        <f t="shared" si="35"/>
        <v>5.6499999999999995</v>
      </c>
      <c r="X38" s="9">
        <f t="shared" si="35"/>
        <v>5.5833333333333339</v>
      </c>
      <c r="Y38" s="9">
        <f t="shared" si="35"/>
        <v>5.5833333333333339</v>
      </c>
      <c r="Z38" s="9" t="e">
        <f t="shared" si="35"/>
        <v>#DIV/0!</v>
      </c>
      <c r="AA38" s="9" t="e">
        <f t="shared" si="35"/>
        <v>#DIV/0!</v>
      </c>
      <c r="AB38" s="9">
        <f t="shared" si="35"/>
        <v>4.7733333333333343</v>
      </c>
      <c r="AC38" s="9">
        <f t="shared" si="35"/>
        <v>4.7733333333333343</v>
      </c>
      <c r="AD38" s="9" t="e">
        <f t="shared" si="35"/>
        <v>#DIV/0!</v>
      </c>
      <c r="AE38" s="9" t="e">
        <f t="shared" si="35"/>
        <v>#DIV/0!</v>
      </c>
      <c r="AF38" s="9">
        <f t="shared" si="35"/>
        <v>6.135135135135136</v>
      </c>
      <c r="AG38" s="9">
        <f t="shared" si="35"/>
        <v>6.135135135135136</v>
      </c>
      <c r="AH38" s="9">
        <f t="shared" si="35"/>
        <v>6.0631578947368423</v>
      </c>
      <c r="AI38" s="9">
        <f t="shared" si="35"/>
        <v>6.0631578947368423</v>
      </c>
      <c r="AJ38" s="9">
        <f t="shared" si="35"/>
        <v>6.2789473684210524</v>
      </c>
      <c r="AK38" s="9">
        <f t="shared" si="35"/>
        <v>6.2789473684210524</v>
      </c>
      <c r="AL38" s="9">
        <f t="shared" si="35"/>
        <v>6.9444444444444446</v>
      </c>
      <c r="AM38" s="9">
        <f t="shared" si="35"/>
        <v>6.9444444444444446</v>
      </c>
      <c r="AN38" s="9">
        <f t="shared" si="35"/>
        <v>7.1567567567567574</v>
      </c>
      <c r="AO38" s="9">
        <f t="shared" si="35"/>
        <v>7.1567567567567574</v>
      </c>
      <c r="AP38" s="9">
        <f t="shared" si="35"/>
        <v>6.8923076923076918</v>
      </c>
      <c r="AQ38" s="9">
        <f t="shared" si="35"/>
        <v>6.8923076923076918</v>
      </c>
    </row>
    <row r="39" spans="1:45" s="10" customFormat="1" x14ac:dyDescent="0.2"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45" s="10" customFormat="1" x14ac:dyDescent="0.2"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45" s="10" customFormat="1" x14ac:dyDescent="0.2">
      <c r="A41" s="10" t="s">
        <v>74</v>
      </c>
      <c r="D41" s="30">
        <f t="shared" ref="D41:AQ41" si="36">IFERROR(D22/D20, "NA")</f>
        <v>2.8235294117647052</v>
      </c>
      <c r="E41" s="30">
        <f t="shared" si="36"/>
        <v>2.8235294117647052</v>
      </c>
      <c r="F41" s="30">
        <f t="shared" si="36"/>
        <v>3.7142857142857149</v>
      </c>
      <c r="G41" s="30">
        <f t="shared" si="36"/>
        <v>3.7142857142857149</v>
      </c>
      <c r="H41" s="30">
        <f t="shared" si="36"/>
        <v>3.3611111111111107</v>
      </c>
      <c r="I41" s="30">
        <f t="shared" si="36"/>
        <v>3.3611111111111107</v>
      </c>
      <c r="J41" s="30">
        <f t="shared" si="36"/>
        <v>2.7368421052631584</v>
      </c>
      <c r="K41" s="30">
        <f t="shared" si="36"/>
        <v>2.7368421052631584</v>
      </c>
      <c r="L41" s="30">
        <f t="shared" si="36"/>
        <v>2.243243243243243</v>
      </c>
      <c r="M41" s="30">
        <f t="shared" si="36"/>
        <v>2.243243243243243</v>
      </c>
      <c r="N41" s="30" t="str">
        <f t="shared" si="36"/>
        <v>NA</v>
      </c>
      <c r="O41" s="30">
        <f t="shared" si="36"/>
        <v>1.7567567567567566</v>
      </c>
      <c r="P41" s="30" t="str">
        <f t="shared" si="36"/>
        <v>NA</v>
      </c>
      <c r="Q41" s="30" t="str">
        <f t="shared" si="36"/>
        <v>NA</v>
      </c>
      <c r="R41" s="30">
        <f t="shared" si="36"/>
        <v>2.7027027027027026</v>
      </c>
      <c r="S41" s="30">
        <f t="shared" si="36"/>
        <v>2.7027027027027026</v>
      </c>
      <c r="T41" s="30">
        <f t="shared" si="36"/>
        <v>3.3055555555555554</v>
      </c>
      <c r="U41" s="30">
        <f t="shared" si="36"/>
        <v>3.3055555555555554</v>
      </c>
      <c r="V41" s="30">
        <f t="shared" si="36"/>
        <v>3.9444444444444442</v>
      </c>
      <c r="W41" s="30">
        <f t="shared" si="36"/>
        <v>3.9444444444444442</v>
      </c>
      <c r="X41" s="30">
        <f t="shared" si="36"/>
        <v>3.7777777777777777</v>
      </c>
      <c r="Y41" s="30">
        <f t="shared" si="36"/>
        <v>3.7777777777777777</v>
      </c>
      <c r="Z41" s="30" t="str">
        <f t="shared" si="36"/>
        <v>NA</v>
      </c>
      <c r="AA41" s="30" t="str">
        <f t="shared" si="36"/>
        <v>NA</v>
      </c>
      <c r="AB41" s="30">
        <f t="shared" si="36"/>
        <v>3.2222222222222228</v>
      </c>
      <c r="AC41" s="30">
        <f t="shared" si="36"/>
        <v>3.2222222222222228</v>
      </c>
      <c r="AD41" s="30" t="str">
        <f t="shared" si="36"/>
        <v>NA</v>
      </c>
      <c r="AE41" s="30" t="str">
        <f t="shared" si="36"/>
        <v>NA</v>
      </c>
      <c r="AF41" s="30">
        <f t="shared" si="36"/>
        <v>4.1891891891891895</v>
      </c>
      <c r="AG41" s="30">
        <f t="shared" si="36"/>
        <v>4.1891891891891895</v>
      </c>
      <c r="AH41" s="30">
        <f t="shared" si="36"/>
        <v>4.3684210526315796</v>
      </c>
      <c r="AI41" s="30">
        <f t="shared" si="36"/>
        <v>4.3684210526315796</v>
      </c>
      <c r="AJ41" s="30">
        <f t="shared" si="36"/>
        <v>4.6842105263157894</v>
      </c>
      <c r="AK41" s="30">
        <f t="shared" si="36"/>
        <v>4.6842105263157894</v>
      </c>
      <c r="AL41" s="30">
        <f t="shared" si="36"/>
        <v>5.1111111111111107</v>
      </c>
      <c r="AM41" s="30">
        <f t="shared" si="36"/>
        <v>5.1111111111111107</v>
      </c>
      <c r="AN41" s="30">
        <f t="shared" si="36"/>
        <v>5.4594594594594597</v>
      </c>
      <c r="AO41" s="30">
        <f t="shared" si="36"/>
        <v>5.4594594594594597</v>
      </c>
      <c r="AP41" s="30">
        <f t="shared" si="36"/>
        <v>5.4358974358974361</v>
      </c>
      <c r="AQ41" s="30">
        <f t="shared" si="36"/>
        <v>5.4358974358974361</v>
      </c>
    </row>
    <row r="42" spans="1:45" s="10" customFormat="1" x14ac:dyDescent="0.2">
      <c r="B42" s="11" t="s">
        <v>70</v>
      </c>
      <c r="C42" s="11"/>
      <c r="D42" s="34" t="str">
        <f>IFERROR(D41/#REF!-1, "NA")</f>
        <v>NA</v>
      </c>
      <c r="E42" s="34">
        <f t="shared" ref="E42:AQ42" si="37">IFERROR(E41/D41-1, "NA")</f>
        <v>0</v>
      </c>
      <c r="F42" s="34">
        <f t="shared" si="37"/>
        <v>0.31547619047619091</v>
      </c>
      <c r="G42" s="34">
        <f t="shared" si="37"/>
        <v>0</v>
      </c>
      <c r="H42" s="34">
        <f t="shared" si="37"/>
        <v>-9.5085470085470303E-2</v>
      </c>
      <c r="I42" s="34">
        <f t="shared" si="37"/>
        <v>0</v>
      </c>
      <c r="J42" s="34">
        <f t="shared" si="37"/>
        <v>-0.18573292735972136</v>
      </c>
      <c r="K42" s="34">
        <f t="shared" si="37"/>
        <v>0</v>
      </c>
      <c r="L42" s="34">
        <f t="shared" si="37"/>
        <v>-0.18035343035343065</v>
      </c>
      <c r="M42" s="34">
        <f t="shared" si="37"/>
        <v>0</v>
      </c>
      <c r="N42" s="34" t="str">
        <f t="shared" si="37"/>
        <v>NA</v>
      </c>
      <c r="O42" s="34" t="str">
        <f t="shared" si="37"/>
        <v>NA</v>
      </c>
      <c r="P42" s="34" t="str">
        <f t="shared" si="37"/>
        <v>NA</v>
      </c>
      <c r="Q42" s="34" t="str">
        <f t="shared" si="37"/>
        <v>NA</v>
      </c>
      <c r="R42" s="34" t="str">
        <f t="shared" si="37"/>
        <v>NA</v>
      </c>
      <c r="S42" s="34">
        <f t="shared" si="37"/>
        <v>0</v>
      </c>
      <c r="T42" s="34">
        <f t="shared" si="37"/>
        <v>0.22305555555555556</v>
      </c>
      <c r="U42" s="34">
        <f t="shared" si="37"/>
        <v>0</v>
      </c>
      <c r="V42" s="34">
        <f t="shared" si="37"/>
        <v>0.19327731092436973</v>
      </c>
      <c r="W42" s="34">
        <f t="shared" si="37"/>
        <v>0</v>
      </c>
      <c r="X42" s="34">
        <f t="shared" si="37"/>
        <v>-4.2253521126760507E-2</v>
      </c>
      <c r="Y42" s="34">
        <f t="shared" si="37"/>
        <v>0</v>
      </c>
      <c r="Z42" s="34" t="str">
        <f t="shared" si="37"/>
        <v>NA</v>
      </c>
      <c r="AA42" s="34" t="str">
        <f t="shared" si="37"/>
        <v>NA</v>
      </c>
      <c r="AB42" s="34" t="str">
        <f t="shared" si="37"/>
        <v>NA</v>
      </c>
      <c r="AC42" s="34">
        <f t="shared" si="37"/>
        <v>0</v>
      </c>
      <c r="AD42" s="34" t="str">
        <f t="shared" si="37"/>
        <v>NA</v>
      </c>
      <c r="AE42" s="34" t="str">
        <f t="shared" si="37"/>
        <v>NA</v>
      </c>
      <c r="AF42" s="34" t="str">
        <f t="shared" si="37"/>
        <v>NA</v>
      </c>
      <c r="AG42" s="34">
        <f t="shared" si="37"/>
        <v>0</v>
      </c>
      <c r="AH42" s="34">
        <f t="shared" si="37"/>
        <v>4.2784380305602721E-2</v>
      </c>
      <c r="AI42" s="34">
        <f t="shared" si="37"/>
        <v>0</v>
      </c>
      <c r="AJ42" s="34">
        <f t="shared" si="37"/>
        <v>7.2289156626505813E-2</v>
      </c>
      <c r="AK42" s="34">
        <f t="shared" si="37"/>
        <v>0</v>
      </c>
      <c r="AL42" s="34">
        <f t="shared" si="37"/>
        <v>9.1136079900124844E-2</v>
      </c>
      <c r="AM42" s="34">
        <f t="shared" si="37"/>
        <v>0</v>
      </c>
      <c r="AN42" s="34">
        <f t="shared" si="37"/>
        <v>6.8155111633372734E-2</v>
      </c>
      <c r="AO42" s="34">
        <f t="shared" si="37"/>
        <v>0</v>
      </c>
      <c r="AP42" s="34">
        <f t="shared" si="37"/>
        <v>-4.3158161970042741E-3</v>
      </c>
      <c r="AQ42" s="34">
        <f t="shared" si="37"/>
        <v>0</v>
      </c>
    </row>
    <row r="43" spans="1:45" s="10" customFormat="1" x14ac:dyDescent="0.2"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5" spans="1:45" x14ac:dyDescent="0.2">
      <c r="A45" s="6" t="s">
        <v>75</v>
      </c>
      <c r="R45" s="26"/>
      <c r="T45" s="26"/>
      <c r="AQ45" s="37">
        <v>5.0999999999999996</v>
      </c>
      <c r="AR45" s="6" t="s">
        <v>76</v>
      </c>
      <c r="AS45" s="9">
        <f>W34*AS46</f>
        <v>4.4837222222222222</v>
      </c>
    </row>
    <row r="46" spans="1:45" x14ac:dyDescent="0.2">
      <c r="A46" s="6" t="s">
        <v>77</v>
      </c>
      <c r="R46" s="12"/>
      <c r="T46" s="12"/>
      <c r="AQ46" s="12">
        <f>AQ45/AQ34</f>
        <v>0.64788273615635161</v>
      </c>
      <c r="AS46" s="13">
        <v>0.66700000000000004</v>
      </c>
    </row>
    <row r="47" spans="1:45" x14ac:dyDescent="0.2">
      <c r="A47" s="6" t="s">
        <v>78</v>
      </c>
      <c r="R47" s="12"/>
      <c r="T47" s="12"/>
      <c r="AQ47" s="12">
        <f>AQ45/AQ38</f>
        <v>0.7399553571428571</v>
      </c>
      <c r="AS47" s="13"/>
    </row>
    <row r="48" spans="1:45" x14ac:dyDescent="0.2">
      <c r="A48" s="6" t="s">
        <v>79</v>
      </c>
      <c r="R48" s="12"/>
      <c r="T48" s="12"/>
      <c r="AQ48" s="49">
        <f>AQ45/AQ29</f>
        <v>0.5234210526315789</v>
      </c>
      <c r="AS48" s="13"/>
    </row>
    <row r="49" spans="1:45" x14ac:dyDescent="0.2">
      <c r="A49" s="6" t="s">
        <v>80</v>
      </c>
      <c r="R49" s="24"/>
      <c r="T49" s="24"/>
      <c r="AQ49" s="30">
        <f>IFERROR(AQ45/AQ41, "NA")</f>
        <v>0.93820754716981125</v>
      </c>
      <c r="AS49" s="13"/>
    </row>
    <row r="50" spans="1:45" x14ac:dyDescent="0.2">
      <c r="R50" s="24"/>
    </row>
    <row r="51" spans="1:45" x14ac:dyDescent="0.2">
      <c r="R51" s="24"/>
    </row>
    <row r="52" spans="1:45" x14ac:dyDescent="0.2">
      <c r="A52" s="6" t="s">
        <v>81</v>
      </c>
      <c r="D52" s="12">
        <f t="shared" ref="D52:AQ52" si="38">D15/D9</f>
        <v>0</v>
      </c>
      <c r="E52" s="12">
        <f t="shared" si="38"/>
        <v>0</v>
      </c>
      <c r="F52" s="12">
        <f t="shared" si="38"/>
        <v>0</v>
      </c>
      <c r="G52" s="12">
        <f t="shared" si="38"/>
        <v>0</v>
      </c>
      <c r="H52" s="12">
        <f t="shared" si="38"/>
        <v>2.2151898734177212E-2</v>
      </c>
      <c r="I52" s="12">
        <f t="shared" si="38"/>
        <v>2.2151898734177212E-2</v>
      </c>
      <c r="J52" s="12">
        <f t="shared" si="38"/>
        <v>2.6622296173044926E-2</v>
      </c>
      <c r="K52" s="12">
        <f t="shared" si="38"/>
        <v>2.6622296173044926E-2</v>
      </c>
      <c r="L52" s="12">
        <f t="shared" si="38"/>
        <v>7.470288624787777E-2</v>
      </c>
      <c r="M52" s="12">
        <f t="shared" si="38"/>
        <v>7.470288624787777E-2</v>
      </c>
      <c r="N52" s="12">
        <f t="shared" si="38"/>
        <v>7.1153846153846151E-2</v>
      </c>
      <c r="O52" s="12">
        <f t="shared" si="38"/>
        <v>7.1153846153846151E-2</v>
      </c>
      <c r="P52" s="12" t="e">
        <f t="shared" si="38"/>
        <v>#DIV/0!</v>
      </c>
      <c r="Q52" s="12" t="e">
        <f t="shared" si="38"/>
        <v>#DIV/0!</v>
      </c>
      <c r="R52" s="12">
        <f t="shared" si="38"/>
        <v>4.4585987261146501E-2</v>
      </c>
      <c r="S52" s="12">
        <f t="shared" si="38"/>
        <v>4.4585987261146501E-2</v>
      </c>
      <c r="T52" s="12">
        <f t="shared" si="38"/>
        <v>3.3936651583710405E-2</v>
      </c>
      <c r="U52" s="12">
        <f t="shared" si="38"/>
        <v>3.3936651583710405E-2</v>
      </c>
      <c r="V52" s="12">
        <f t="shared" si="38"/>
        <v>2.9411764705882353E-2</v>
      </c>
      <c r="W52" s="12">
        <f t="shared" si="38"/>
        <v>2.9411764705882353E-2</v>
      </c>
      <c r="X52" s="12">
        <f t="shared" si="38"/>
        <v>2.0151133501259445E-2</v>
      </c>
      <c r="Y52" s="12">
        <f t="shared" si="38"/>
        <v>2.0151133501259445E-2</v>
      </c>
      <c r="Z52" s="12" t="e">
        <f t="shared" si="38"/>
        <v>#DIV/0!</v>
      </c>
      <c r="AA52" s="12" t="e">
        <f t="shared" si="38"/>
        <v>#DIV/0!</v>
      </c>
      <c r="AB52" s="12">
        <f t="shared" si="38"/>
        <v>2.5000000000000001E-3</v>
      </c>
      <c r="AC52" s="12">
        <f t="shared" si="38"/>
        <v>2.5000000000000001E-3</v>
      </c>
      <c r="AD52" s="12" t="e">
        <f t="shared" si="38"/>
        <v>#DIV/0!</v>
      </c>
      <c r="AE52" s="12" t="e">
        <f t="shared" si="38"/>
        <v>#DIV/0!</v>
      </c>
      <c r="AF52" s="12">
        <f t="shared" si="38"/>
        <v>0</v>
      </c>
      <c r="AG52" s="12">
        <f t="shared" si="38"/>
        <v>0</v>
      </c>
      <c r="AH52" s="12">
        <f t="shared" si="38"/>
        <v>0</v>
      </c>
      <c r="AI52" s="12">
        <f t="shared" si="38"/>
        <v>0</v>
      </c>
      <c r="AJ52" s="12">
        <f t="shared" si="38"/>
        <v>0</v>
      </c>
      <c r="AK52" s="12">
        <f t="shared" si="38"/>
        <v>0</v>
      </c>
      <c r="AL52" s="12">
        <f t="shared" si="38"/>
        <v>0</v>
      </c>
      <c r="AM52" s="12">
        <f t="shared" si="38"/>
        <v>0</v>
      </c>
      <c r="AN52" s="12">
        <f t="shared" si="38"/>
        <v>0</v>
      </c>
      <c r="AO52" s="12">
        <f t="shared" si="38"/>
        <v>0</v>
      </c>
      <c r="AP52" s="12">
        <f t="shared" si="38"/>
        <v>0</v>
      </c>
      <c r="AQ52" s="12">
        <f t="shared" si="38"/>
        <v>0</v>
      </c>
    </row>
    <row r="53" spans="1:45" x14ac:dyDescent="0.2">
      <c r="A53" s="6" t="s">
        <v>82</v>
      </c>
      <c r="D53" s="12">
        <f t="shared" ref="D53:AQ53" si="39">D15/D16</f>
        <v>0</v>
      </c>
      <c r="E53" s="12">
        <f t="shared" si="39"/>
        <v>0</v>
      </c>
      <c r="F53" s="12">
        <f t="shared" si="39"/>
        <v>0</v>
      </c>
      <c r="G53" s="12">
        <f t="shared" si="39"/>
        <v>0</v>
      </c>
      <c r="H53" s="12">
        <f t="shared" si="39"/>
        <v>2.540834845735027E-2</v>
      </c>
      <c r="I53" s="12">
        <f t="shared" si="39"/>
        <v>2.540834845735027E-2</v>
      </c>
      <c r="J53" s="12">
        <f t="shared" si="39"/>
        <v>3.0245746691871456E-2</v>
      </c>
      <c r="K53" s="12">
        <f t="shared" si="39"/>
        <v>3.0245746691871456E-2</v>
      </c>
      <c r="L53" s="12">
        <f t="shared" si="39"/>
        <v>9.0163934426229525E-2</v>
      </c>
      <c r="M53" s="12">
        <f t="shared" si="39"/>
        <v>9.0163934426229525E-2</v>
      </c>
      <c r="N53" s="12">
        <f t="shared" si="39"/>
        <v>8.6247086247086255E-2</v>
      </c>
      <c r="O53" s="12">
        <f t="shared" si="39"/>
        <v>8.6247086247086255E-2</v>
      </c>
      <c r="P53" s="12">
        <f t="shared" si="39"/>
        <v>0</v>
      </c>
      <c r="Q53" s="12" t="e">
        <f t="shared" si="39"/>
        <v>#DIV/0!</v>
      </c>
      <c r="R53" s="12">
        <f t="shared" si="39"/>
        <v>5.1470588235294122E-2</v>
      </c>
      <c r="S53" s="12">
        <f t="shared" si="39"/>
        <v>5.1470588235294122E-2</v>
      </c>
      <c r="T53" s="12">
        <f t="shared" si="39"/>
        <v>3.8659793814432991E-2</v>
      </c>
      <c r="U53" s="12">
        <f t="shared" si="39"/>
        <v>3.8659793814432991E-2</v>
      </c>
      <c r="V53" s="12">
        <f t="shared" si="39"/>
        <v>3.2967032967032968E-2</v>
      </c>
      <c r="W53" s="12">
        <f t="shared" si="39"/>
        <v>3.2967032967032968E-2</v>
      </c>
      <c r="X53" s="12">
        <f t="shared" si="39"/>
        <v>2.2792022792022793E-2</v>
      </c>
      <c r="Y53" s="12">
        <f t="shared" si="39"/>
        <v>2.2792022792022793E-2</v>
      </c>
      <c r="Z53" s="12">
        <f t="shared" si="39"/>
        <v>0</v>
      </c>
      <c r="AA53" s="12" t="e">
        <f t="shared" si="39"/>
        <v>#DIV/0!</v>
      </c>
      <c r="AB53" s="12">
        <f t="shared" si="39"/>
        <v>2.7932960893854754E-3</v>
      </c>
      <c r="AC53" s="12">
        <f t="shared" si="39"/>
        <v>2.7932960893854754E-3</v>
      </c>
      <c r="AD53" s="12">
        <f t="shared" si="39"/>
        <v>0</v>
      </c>
      <c r="AE53" s="12" t="e">
        <f t="shared" si="39"/>
        <v>#DIV/0!</v>
      </c>
      <c r="AF53" s="12">
        <f t="shared" si="39"/>
        <v>0</v>
      </c>
      <c r="AG53" s="12">
        <f t="shared" si="39"/>
        <v>0</v>
      </c>
      <c r="AH53" s="12">
        <f t="shared" si="39"/>
        <v>0</v>
      </c>
      <c r="AI53" s="12">
        <f t="shared" si="39"/>
        <v>0</v>
      </c>
      <c r="AJ53" s="12">
        <f t="shared" si="39"/>
        <v>0</v>
      </c>
      <c r="AK53" s="12">
        <f t="shared" si="39"/>
        <v>0</v>
      </c>
      <c r="AL53" s="12">
        <f t="shared" si="39"/>
        <v>0</v>
      </c>
      <c r="AM53" s="12">
        <f t="shared" si="39"/>
        <v>0</v>
      </c>
      <c r="AN53" s="12">
        <f t="shared" si="39"/>
        <v>0</v>
      </c>
      <c r="AO53" s="12">
        <f t="shared" si="39"/>
        <v>0</v>
      </c>
      <c r="AP53" s="12">
        <f t="shared" si="39"/>
        <v>0</v>
      </c>
      <c r="AQ53" s="12">
        <f t="shared" si="39"/>
        <v>0</v>
      </c>
    </row>
    <row r="54" spans="1:45" x14ac:dyDescent="0.2">
      <c r="A54" s="6" t="s">
        <v>83</v>
      </c>
      <c r="D54" s="12">
        <f t="shared" ref="D54:AQ54" si="40">D13/D16</f>
        <v>0.19251336898395724</v>
      </c>
      <c r="E54" s="12">
        <f t="shared" si="40"/>
        <v>0.19251336898395724</v>
      </c>
      <c r="F54" s="12">
        <f t="shared" si="40"/>
        <v>0.13620071684587814</v>
      </c>
      <c r="G54" s="12">
        <f t="shared" si="40"/>
        <v>0.13620071684587814</v>
      </c>
      <c r="H54" s="12">
        <f t="shared" si="40"/>
        <v>0.14700544464609799</v>
      </c>
      <c r="I54" s="12">
        <f t="shared" si="40"/>
        <v>0.14700544464609799</v>
      </c>
      <c r="J54" s="12">
        <f t="shared" si="40"/>
        <v>0.13610586011342155</v>
      </c>
      <c r="K54" s="12">
        <f t="shared" si="40"/>
        <v>0.13610586011342155</v>
      </c>
      <c r="L54" s="12">
        <f t="shared" si="40"/>
        <v>0.20696721311475411</v>
      </c>
      <c r="M54" s="12">
        <f t="shared" si="40"/>
        <v>0.20696721311475411</v>
      </c>
      <c r="N54" s="12">
        <f t="shared" si="40"/>
        <v>0.21212121212121213</v>
      </c>
      <c r="O54" s="12">
        <f t="shared" si="40"/>
        <v>0.21212121212121213</v>
      </c>
      <c r="P54" s="12">
        <f t="shared" si="40"/>
        <v>0</v>
      </c>
      <c r="Q54" s="12" t="e">
        <f t="shared" si="40"/>
        <v>#DIV/0!</v>
      </c>
      <c r="R54" s="12">
        <f t="shared" si="40"/>
        <v>0.15441176470588236</v>
      </c>
      <c r="S54" s="12">
        <f t="shared" si="40"/>
        <v>0.15441176470588236</v>
      </c>
      <c r="T54" s="12">
        <f t="shared" si="40"/>
        <v>0.1391752577319588</v>
      </c>
      <c r="U54" s="12">
        <f t="shared" si="40"/>
        <v>0.1391752577319588</v>
      </c>
      <c r="V54" s="12">
        <f t="shared" si="40"/>
        <v>0.11813186813186813</v>
      </c>
      <c r="W54" s="12">
        <f t="shared" si="40"/>
        <v>0.11813186813186813</v>
      </c>
      <c r="X54" s="12">
        <f t="shared" si="40"/>
        <v>0.13105413105413105</v>
      </c>
      <c r="Y54" s="12">
        <f t="shared" si="40"/>
        <v>0.13105413105413105</v>
      </c>
      <c r="Z54" s="12">
        <f t="shared" si="40"/>
        <v>0</v>
      </c>
      <c r="AA54" s="12" t="e">
        <f t="shared" si="40"/>
        <v>#DIV/0!</v>
      </c>
      <c r="AB54" s="12">
        <f t="shared" si="40"/>
        <v>0.11452513966480447</v>
      </c>
      <c r="AC54" s="12">
        <f t="shared" si="40"/>
        <v>0.11452513966480447</v>
      </c>
      <c r="AD54" s="12">
        <f t="shared" si="40"/>
        <v>0</v>
      </c>
      <c r="AE54" s="12" t="e">
        <f t="shared" si="40"/>
        <v>#DIV/0!</v>
      </c>
      <c r="AF54" s="12">
        <f t="shared" si="40"/>
        <v>0.11202185792349725</v>
      </c>
      <c r="AG54" s="12">
        <f t="shared" si="40"/>
        <v>0.11202185792349725</v>
      </c>
      <c r="AH54" s="12">
        <f t="shared" si="40"/>
        <v>0.111731843575419</v>
      </c>
      <c r="AI54" s="12">
        <f t="shared" si="40"/>
        <v>0.111731843575419</v>
      </c>
      <c r="AJ54" s="12">
        <f t="shared" si="40"/>
        <v>0.11049723756906077</v>
      </c>
      <c r="AK54" s="12">
        <f t="shared" si="40"/>
        <v>0.11049723756906077</v>
      </c>
      <c r="AL54" s="12">
        <f t="shared" si="40"/>
        <v>0.1229946524064171</v>
      </c>
      <c r="AM54" s="12">
        <f t="shared" si="40"/>
        <v>0.1229946524064171</v>
      </c>
      <c r="AN54" s="12">
        <f t="shared" si="40"/>
        <v>0.10236220472440945</v>
      </c>
      <c r="AO54" s="12">
        <f t="shared" si="40"/>
        <v>0.10236220472440945</v>
      </c>
      <c r="AP54" s="12">
        <f t="shared" si="40"/>
        <v>0.10554089709762533</v>
      </c>
      <c r="AQ54" s="12">
        <f t="shared" si="40"/>
        <v>0.10554089709762533</v>
      </c>
    </row>
  </sheetData>
  <pageMargins left="0.7" right="0.7" top="0.75" bottom="0.75" header="0.3" footer="0.3"/>
  <pageSetup orientation="portrait" horizontalDpi="1200" verticalDpi="12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1"/>
  <sheetViews>
    <sheetView zoomScale="85" zoomScaleNormal="85" workbookViewId="0">
      <pane xSplit="2" ySplit="1" topLeftCell="AE2" activePane="bottomRight" state="frozen"/>
      <selection pane="topRight" activeCell="C1" sqref="C1"/>
      <selection pane="bottomLeft" activeCell="A2" sqref="A2"/>
      <selection pane="bottomRight" activeCell="AO11" sqref="AO11"/>
    </sheetView>
  </sheetViews>
  <sheetFormatPr defaultColWidth="9.140625" defaultRowHeight="12.75" x14ac:dyDescent="0.2"/>
  <cols>
    <col min="1" max="1" width="2.7109375" style="6" customWidth="1"/>
    <col min="2" max="2" width="22.28515625" style="6" customWidth="1"/>
    <col min="3" max="42" width="12.7109375" style="6" customWidth="1"/>
    <col min="43" max="44" width="9.140625" style="6" customWidth="1"/>
    <col min="45" max="16384" width="9.140625" style="6"/>
  </cols>
  <sheetData>
    <row r="1" spans="1:42" ht="15" customHeight="1" x14ac:dyDescent="0.25">
      <c r="C1" s="55" t="s">
        <v>12</v>
      </c>
      <c r="D1" s="55" t="s">
        <v>13</v>
      </c>
      <c r="E1" s="55" t="s">
        <v>14</v>
      </c>
      <c r="F1" s="55" t="s">
        <v>15</v>
      </c>
      <c r="G1" s="55" t="s">
        <v>16</v>
      </c>
      <c r="H1" s="55" t="s">
        <v>17</v>
      </c>
      <c r="I1" s="55" t="s">
        <v>18</v>
      </c>
      <c r="J1" s="55" t="s">
        <v>19</v>
      </c>
      <c r="K1" s="55" t="s">
        <v>20</v>
      </c>
      <c r="L1" s="55" t="s">
        <v>21</v>
      </c>
      <c r="M1" s="55" t="s">
        <v>22</v>
      </c>
      <c r="N1" s="55" t="s">
        <v>23</v>
      </c>
      <c r="O1" s="55" t="s">
        <v>24</v>
      </c>
      <c r="P1" s="55" t="s">
        <v>25</v>
      </c>
      <c r="Q1" s="55" t="s">
        <v>26</v>
      </c>
      <c r="R1" s="55" t="s">
        <v>27</v>
      </c>
      <c r="S1" s="55" t="s">
        <v>28</v>
      </c>
      <c r="T1" s="55" t="s">
        <v>29</v>
      </c>
      <c r="U1" s="55" t="s">
        <v>30</v>
      </c>
      <c r="V1" s="55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 ht="15" customHeight="1" x14ac:dyDescent="0.25">
      <c r="A2" s="6" t="s">
        <v>84</v>
      </c>
      <c r="C2" s="27">
        <f>_xlfn.NUMBERVALUE(trilogiq_IS!D12)</f>
        <v>16.2</v>
      </c>
      <c r="D2" s="27">
        <f>_xlfn.NUMBERVALUE(trilogiq_IS!E12)</f>
        <v>16.2</v>
      </c>
      <c r="E2" s="27">
        <f>_xlfn.NUMBERVALUE(trilogiq_IS!F12)</f>
        <v>11.8</v>
      </c>
      <c r="F2" s="27">
        <f>_xlfn.NUMBERVALUE(trilogiq_IS!G12)</f>
        <v>11.8</v>
      </c>
      <c r="G2" s="27">
        <f>_xlfn.NUMBERVALUE(trilogiq_IS!H12)</f>
        <v>9.1</v>
      </c>
      <c r="H2" s="27">
        <f>_xlfn.NUMBERVALUE(trilogiq_IS!I12)</f>
        <v>9.1</v>
      </c>
      <c r="I2" s="27">
        <f>_xlfn.NUMBERVALUE(trilogiq_IS!J12)</f>
        <v>8.4</v>
      </c>
      <c r="J2" s="27">
        <f>_xlfn.NUMBERVALUE(trilogiq_IS!K12)</f>
        <v>8.4</v>
      </c>
      <c r="K2" s="27">
        <f>_xlfn.NUMBERVALUE(trilogiq_IS!L12)</f>
        <v>8.1</v>
      </c>
      <c r="L2" s="27">
        <f>_xlfn.NUMBERVALUE(trilogiq_IS!M12)</f>
        <v>8.1</v>
      </c>
      <c r="M2" s="27">
        <f>_xlfn.NUMBERVALUE(trilogiq_IS!N12)</f>
        <v>8.6999999999999993</v>
      </c>
      <c r="N2" s="27">
        <f>_xlfn.NUMBERVALUE(trilogiq_IS!O12)</f>
        <v>8.6999999999999993</v>
      </c>
      <c r="O2" s="27">
        <f>_xlfn.NUMBERVALUE(trilogiq_IS!P12)</f>
        <v>8.1999999999999993</v>
      </c>
      <c r="P2" s="27">
        <f>_xlfn.NUMBERVALUE(trilogiq_IS!Q12)</f>
        <v>8.1999999999999993</v>
      </c>
      <c r="Q2" s="27">
        <f>_xlfn.NUMBERVALUE(trilogiq_IS!R12)</f>
        <v>7.8</v>
      </c>
      <c r="R2" s="27">
        <f>_xlfn.NUMBERVALUE(trilogiq_IS!S12)</f>
        <v>7.8</v>
      </c>
      <c r="S2" s="27">
        <f>_xlfn.NUMBERVALUE(trilogiq_IS!T12)</f>
        <v>6.3</v>
      </c>
      <c r="T2" s="27">
        <f>_xlfn.NUMBERVALUE(trilogiq_IS!U12)</f>
        <v>6.3</v>
      </c>
      <c r="U2" s="27">
        <f>_xlfn.NUMBERVALUE(trilogiq_IS!V12)</f>
        <v>5.4</v>
      </c>
      <c r="V2" s="27">
        <f>_xlfn.NUMBERVALUE(trilogiq_IS!W12)</f>
        <v>5.4</v>
      </c>
      <c r="W2" s="27">
        <f>_xlfn.NUMBERVALUE(trilogiq_IS!X12)</f>
        <v>5</v>
      </c>
      <c r="X2" s="27">
        <f>_xlfn.NUMBERVALUE(trilogiq_IS!Y12)</f>
        <v>5</v>
      </c>
      <c r="Y2" s="27">
        <f>_xlfn.NUMBERVALUE(trilogiq_IS!Z12)</f>
        <v>6.3</v>
      </c>
      <c r="Z2" s="27">
        <f>_xlfn.NUMBERVALUE(trilogiq_IS!AA12)</f>
        <v>6.3</v>
      </c>
      <c r="AA2" s="27">
        <f>_xlfn.NUMBERVALUE(trilogiq_IS!AB12)</f>
        <v>5.3</v>
      </c>
      <c r="AB2" s="27">
        <f>_xlfn.NUMBERVALUE(trilogiq_IS!AC12)</f>
        <v>5.3</v>
      </c>
      <c r="AC2" s="27">
        <f>_xlfn.NUMBERVALUE(trilogiq_IS!AD12)</f>
        <v>5.4</v>
      </c>
      <c r="AD2" s="27">
        <f>_xlfn.NUMBERVALUE(trilogiq_IS!AE12)</f>
        <v>5.4</v>
      </c>
      <c r="AE2" s="27">
        <f>_xlfn.NUMBERVALUE(trilogiq_IS!AF12)</f>
        <v>5.3</v>
      </c>
      <c r="AF2" s="27">
        <f>_xlfn.NUMBERVALUE(trilogiq_IS!AG12)</f>
        <v>5.3</v>
      </c>
      <c r="AG2" s="27">
        <f>_xlfn.NUMBERVALUE(trilogiq_IS!AH12)</f>
        <v>5.8</v>
      </c>
      <c r="AH2" s="27">
        <f>_xlfn.NUMBERVALUE(trilogiq_IS!AI12)</f>
        <v>5.8</v>
      </c>
      <c r="AI2" s="27">
        <f>_xlfn.NUMBERVALUE(trilogiq_IS!AJ12)</f>
        <v>5.6</v>
      </c>
      <c r="AJ2" s="27">
        <f>_xlfn.NUMBERVALUE(trilogiq_IS!AK12)</f>
        <v>5.6</v>
      </c>
      <c r="AK2" s="27">
        <f>_xlfn.NUMBERVALUE(trilogiq_IS!AL12)</f>
        <v>6.4</v>
      </c>
      <c r="AL2" s="27">
        <f>_xlfn.NUMBERVALUE(trilogiq_IS!AM12)</f>
        <v>6.4</v>
      </c>
      <c r="AM2" s="27">
        <f>_xlfn.NUMBERVALUE(trilogiq_IS!AN12)</f>
        <v>6.1</v>
      </c>
      <c r="AN2" s="27">
        <f>_xlfn.NUMBERVALUE(trilogiq_IS!AO12)</f>
        <v>6.1</v>
      </c>
      <c r="AO2" s="27">
        <f>_xlfn.NUMBERVALUE(trilogiq_IS!AP12)</f>
        <v>5.5</v>
      </c>
      <c r="AP2" s="27">
        <f>_xlfn.NUMBERVALUE(trilogiq_IS!AQ12)</f>
        <v>5.5</v>
      </c>
    </row>
    <row r="3" spans="1:42" ht="15" customHeight="1" x14ac:dyDescent="0.25">
      <c r="A3" s="14"/>
      <c r="B3" s="14" t="s">
        <v>70</v>
      </c>
      <c r="C3" s="15"/>
      <c r="D3" s="15">
        <f t="shared" ref="D3:V3" si="0">D2/C2-1</f>
        <v>0</v>
      </c>
      <c r="E3" s="15">
        <f t="shared" si="0"/>
        <v>-0.27160493827160481</v>
      </c>
      <c r="F3" s="15">
        <f t="shared" si="0"/>
        <v>0</v>
      </c>
      <c r="G3" s="15">
        <f t="shared" si="0"/>
        <v>-0.22881355932203395</v>
      </c>
      <c r="H3" s="15">
        <f t="shared" si="0"/>
        <v>0</v>
      </c>
      <c r="I3" s="15">
        <f t="shared" si="0"/>
        <v>-7.6923076923076872E-2</v>
      </c>
      <c r="J3" s="15">
        <f t="shared" si="0"/>
        <v>0</v>
      </c>
      <c r="K3" s="15">
        <f t="shared" si="0"/>
        <v>-3.5714285714285809E-2</v>
      </c>
      <c r="L3" s="15">
        <f t="shared" si="0"/>
        <v>0</v>
      </c>
      <c r="M3" s="15">
        <f t="shared" si="0"/>
        <v>7.4074074074073959E-2</v>
      </c>
      <c r="N3" s="15">
        <f t="shared" si="0"/>
        <v>0</v>
      </c>
      <c r="O3" s="59">
        <f t="shared" si="0"/>
        <v>-5.7471264367816133E-2</v>
      </c>
      <c r="P3" s="59">
        <f t="shared" si="0"/>
        <v>0</v>
      </c>
      <c r="Q3" s="59">
        <f t="shared" si="0"/>
        <v>-4.8780487804877981E-2</v>
      </c>
      <c r="R3" s="59">
        <f t="shared" si="0"/>
        <v>0</v>
      </c>
      <c r="S3" s="59">
        <f t="shared" si="0"/>
        <v>-0.19230769230769229</v>
      </c>
      <c r="T3" s="59">
        <f t="shared" si="0"/>
        <v>0</v>
      </c>
      <c r="U3" s="59">
        <f t="shared" si="0"/>
        <v>-0.14285714285714279</v>
      </c>
      <c r="V3" s="59">
        <f t="shared" si="0"/>
        <v>0</v>
      </c>
      <c r="W3" s="59">
        <f>W2/U2-1</f>
        <v>-7.4074074074074181E-2</v>
      </c>
      <c r="X3" s="59">
        <f>X2/U2-1</f>
        <v>-7.4074074074074181E-2</v>
      </c>
      <c r="Y3" s="59">
        <f>Y2/U2-1</f>
        <v>0.16666666666666652</v>
      </c>
      <c r="Z3" s="59">
        <f>Z2/U2-1</f>
        <v>0.16666666666666652</v>
      </c>
      <c r="AA3" s="59">
        <f>AA2/U2-1</f>
        <v>-1.8518518518518601E-2</v>
      </c>
      <c r="AB3" s="59">
        <f>AB2/U2-1</f>
        <v>-1.8518518518518601E-2</v>
      </c>
      <c r="AC3" s="59">
        <f>AC2/U2-1</f>
        <v>0</v>
      </c>
      <c r="AD3" s="59">
        <f>AD2/U2-1</f>
        <v>0</v>
      </c>
      <c r="AE3" s="59">
        <f>AE2/U2-1</f>
        <v>-1.8518518518518601E-2</v>
      </c>
      <c r="AF3" s="59">
        <f>AF2/U2-1</f>
        <v>-1.8518518518518601E-2</v>
      </c>
      <c r="AG3" s="59">
        <f>AG2/U2-1</f>
        <v>7.4074074074073959E-2</v>
      </c>
      <c r="AH3" s="59">
        <f>AH2/U2-1</f>
        <v>7.4074074074073959E-2</v>
      </c>
      <c r="AI3" s="59">
        <f>AI2/U2-1</f>
        <v>3.7037037037036979E-2</v>
      </c>
      <c r="AJ3" s="59">
        <f>AJ2/U2-1</f>
        <v>3.7037037037036979E-2</v>
      </c>
      <c r="AK3" s="59">
        <f>AK2/U2-1</f>
        <v>0.18518518518518512</v>
      </c>
      <c r="AL3" s="59">
        <f>AL2/U2-1</f>
        <v>0.18518518518518512</v>
      </c>
      <c r="AM3" s="59">
        <f>AM2/U2-1</f>
        <v>0.12962962962962954</v>
      </c>
      <c r="AN3" s="59">
        <f>AN2/U2-1</f>
        <v>0.12962962962962954</v>
      </c>
      <c r="AO3" s="59">
        <f>AO2/U2-1</f>
        <v>1.8518518518518379E-2</v>
      </c>
      <c r="AP3" s="59">
        <f>AP2/U2-1</f>
        <v>1.8518518518518379E-2</v>
      </c>
    </row>
    <row r="4" spans="1:42" ht="15" customHeight="1" x14ac:dyDescent="0.25">
      <c r="A4" s="14"/>
      <c r="B4" s="14" t="s">
        <v>71</v>
      </c>
      <c r="C4" s="15"/>
      <c r="D4" s="15"/>
      <c r="E4" s="15"/>
      <c r="F4" s="15"/>
      <c r="G4" s="15">
        <f t="shared" ref="G4:V4" si="1">G2/C2-1</f>
        <v>-0.43827160493827155</v>
      </c>
      <c r="H4" s="15">
        <f t="shared" si="1"/>
        <v>-0.43827160493827155</v>
      </c>
      <c r="I4" s="15">
        <f t="shared" si="1"/>
        <v>-0.28813559322033899</v>
      </c>
      <c r="J4" s="15">
        <f t="shared" si="1"/>
        <v>-0.28813559322033899</v>
      </c>
      <c r="K4" s="15">
        <f t="shared" si="1"/>
        <v>-0.10989010989010994</v>
      </c>
      <c r="L4" s="15">
        <f t="shared" si="1"/>
        <v>-0.10989010989010994</v>
      </c>
      <c r="M4" s="15">
        <f t="shared" si="1"/>
        <v>3.5714285714285587E-2</v>
      </c>
      <c r="N4" s="15">
        <f t="shared" si="1"/>
        <v>3.5714285714285587E-2</v>
      </c>
      <c r="O4" s="59">
        <f t="shared" si="1"/>
        <v>1.2345679012345734E-2</v>
      </c>
      <c r="P4" s="59">
        <f t="shared" si="1"/>
        <v>1.2345679012345734E-2</v>
      </c>
      <c r="Q4" s="59">
        <f t="shared" si="1"/>
        <v>-0.10344827586206895</v>
      </c>
      <c r="R4" s="59">
        <f t="shared" si="1"/>
        <v>-0.10344827586206895</v>
      </c>
      <c r="S4" s="59">
        <f t="shared" si="1"/>
        <v>-0.23170731707317072</v>
      </c>
      <c r="T4" s="59">
        <f t="shared" si="1"/>
        <v>-0.23170731707317072</v>
      </c>
      <c r="U4" s="59">
        <f t="shared" si="1"/>
        <v>-0.3076923076923076</v>
      </c>
      <c r="V4" s="59">
        <f t="shared" si="1"/>
        <v>-0.3076923076923076</v>
      </c>
      <c r="W4" s="59">
        <f>W2/R2-1</f>
        <v>-0.35897435897435892</v>
      </c>
      <c r="X4" s="59">
        <f>X2/R2-1</f>
        <v>-0.35897435897435892</v>
      </c>
      <c r="Y4" s="59">
        <f>Y2/R2-1</f>
        <v>-0.19230769230769229</v>
      </c>
      <c r="Z4" s="59">
        <f>Z2/R2-1</f>
        <v>-0.19230769230769229</v>
      </c>
      <c r="AA4" s="59">
        <f>AA2/R2-1</f>
        <v>-0.32051282051282048</v>
      </c>
      <c r="AB4" s="59">
        <f>AB2/R2-1</f>
        <v>-0.32051282051282048</v>
      </c>
      <c r="AC4" s="59">
        <f>AC2/R2-1</f>
        <v>-0.3076923076923076</v>
      </c>
      <c r="AD4" s="59">
        <f>AD2/R2-1</f>
        <v>-0.3076923076923076</v>
      </c>
      <c r="AE4" s="59">
        <f>AE2/R2-1</f>
        <v>-0.32051282051282048</v>
      </c>
      <c r="AF4" s="59">
        <f>AF2/R2-1</f>
        <v>-0.32051282051282048</v>
      </c>
      <c r="AG4" s="59">
        <f>AG2/R2-1</f>
        <v>-0.25641025641025639</v>
      </c>
      <c r="AH4" s="59">
        <f>AH2/R2-1</f>
        <v>-0.25641025641025639</v>
      </c>
      <c r="AI4" s="59">
        <f>AI2/R2-1</f>
        <v>-0.28205128205128205</v>
      </c>
      <c r="AJ4" s="59">
        <f>AJ2/R2-1</f>
        <v>-0.28205128205128205</v>
      </c>
      <c r="AK4" s="59">
        <f>AK2/R2-1</f>
        <v>-0.1794871794871794</v>
      </c>
      <c r="AL4" s="59">
        <f>AL2/R2-1</f>
        <v>-0.1794871794871794</v>
      </c>
      <c r="AM4" s="59">
        <f>AM2/R2-1</f>
        <v>-0.21794871794871795</v>
      </c>
      <c r="AN4" s="59">
        <f>AN2/R2-1</f>
        <v>-0.21794871794871795</v>
      </c>
      <c r="AO4" s="59">
        <f>AO2/R2-1</f>
        <v>-0.29487179487179482</v>
      </c>
      <c r="AP4" s="59">
        <f>AP2/R2-1</f>
        <v>-0.29487179487179482</v>
      </c>
    </row>
    <row r="5" spans="1:42" x14ac:dyDescent="0.2"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</row>
    <row r="6" spans="1:42" ht="15" customHeight="1" x14ac:dyDescent="0.25">
      <c r="A6" s="6" t="s">
        <v>85</v>
      </c>
      <c r="C6" s="35">
        <f>_xlfn.NUMBERVALUE(trilogiq_IS!D16)</f>
        <v>6.9</v>
      </c>
      <c r="D6" s="35">
        <f>_xlfn.NUMBERVALUE(trilogiq_IS!E16)</f>
        <v>6.9</v>
      </c>
      <c r="E6" s="35">
        <f>_xlfn.NUMBERVALUE(trilogiq_IS!F16)</f>
        <v>4.0999999999999996</v>
      </c>
      <c r="F6" s="35">
        <f>_xlfn.NUMBERVALUE(trilogiq_IS!G16)</f>
        <v>4.0999999999999996</v>
      </c>
      <c r="G6" s="35">
        <f>_xlfn.NUMBERVALUE(trilogiq_IS!H16)</f>
        <v>3.5</v>
      </c>
      <c r="H6" s="35">
        <f>_xlfn.NUMBERVALUE(trilogiq_IS!I16)</f>
        <v>3.5</v>
      </c>
      <c r="I6" s="35">
        <f>_xlfn.NUMBERVALUE(trilogiq_IS!J16)</f>
        <v>2.5</v>
      </c>
      <c r="J6" s="35">
        <f>_xlfn.NUMBERVALUE(trilogiq_IS!K16)</f>
        <v>2.5</v>
      </c>
      <c r="K6" s="35">
        <f>_xlfn.NUMBERVALUE(trilogiq_IS!L16)</f>
        <v>2.4</v>
      </c>
      <c r="L6" s="35">
        <f>_xlfn.NUMBERVALUE(trilogiq_IS!M16)</f>
        <v>2.4</v>
      </c>
      <c r="M6" s="35">
        <f>_xlfn.NUMBERVALUE(trilogiq_IS!N16)</f>
        <v>0.2</v>
      </c>
      <c r="N6" s="35">
        <f>_xlfn.NUMBERVALUE(trilogiq_IS!O16)</f>
        <v>0.2</v>
      </c>
      <c r="O6" s="61">
        <f>_xlfn.NUMBERVALUE(trilogiq_IS!P16)</f>
        <v>2.6</v>
      </c>
      <c r="P6" s="61">
        <f>_xlfn.NUMBERVALUE(trilogiq_IS!Q16)</f>
        <v>2.6</v>
      </c>
      <c r="Q6" s="61">
        <f>_xlfn.NUMBERVALUE(trilogiq_IS!R16)</f>
        <v>2.8</v>
      </c>
      <c r="R6" s="61">
        <f>_xlfn.NUMBERVALUE(trilogiq_IS!S16)</f>
        <v>2.8</v>
      </c>
      <c r="S6" s="61">
        <f>_xlfn.NUMBERVALUE(trilogiq_IS!T16)</f>
        <v>2.2999999999999998</v>
      </c>
      <c r="T6" s="61">
        <f>_xlfn.NUMBERVALUE(trilogiq_IS!U16)</f>
        <v>2.2999999999999998</v>
      </c>
      <c r="U6" s="61">
        <f>_xlfn.NUMBERVALUE(trilogiq_IS!V16)</f>
        <v>1.9</v>
      </c>
      <c r="V6" s="61">
        <f>_xlfn.NUMBERVALUE(trilogiq_IS!W16)</f>
        <v>1.9</v>
      </c>
      <c r="W6" s="61">
        <f>_xlfn.NUMBERVALUE(trilogiq_IS!W16)</f>
        <v>1.9</v>
      </c>
      <c r="X6" s="61">
        <f>_xlfn.NUMBERVALUE(trilogiq_IS!X16)</f>
        <v>2.1</v>
      </c>
      <c r="Y6" s="61">
        <f>_xlfn.NUMBERVALUE(trilogiq_IS!Y16)</f>
        <v>2.1</v>
      </c>
      <c r="Z6" s="61">
        <f>_xlfn.NUMBERVALUE(trilogiq_IS!Z16)</f>
        <v>2.6</v>
      </c>
      <c r="AA6" s="61">
        <f>_xlfn.NUMBERVALUE(trilogiq_IS!AA16)</f>
        <v>2.6</v>
      </c>
      <c r="AB6" s="61">
        <f>_xlfn.NUMBERVALUE(trilogiq_IS!AB16)</f>
        <v>3.1</v>
      </c>
      <c r="AC6" s="61">
        <f>_xlfn.NUMBERVALUE(trilogiq_IS!AC16)</f>
        <v>3.1</v>
      </c>
      <c r="AD6" s="61">
        <f>_xlfn.NUMBERVALUE(trilogiq_IS!AD16)</f>
        <v>2</v>
      </c>
      <c r="AE6" s="61">
        <f>_xlfn.NUMBERVALUE(trilogiq_IS!AE16)</f>
        <v>2</v>
      </c>
      <c r="AF6" s="61">
        <f>_xlfn.NUMBERVALUE(trilogiq_IS!AF16)</f>
        <v>3.2</v>
      </c>
      <c r="AG6" s="61">
        <f>_xlfn.NUMBERVALUE(trilogiq_IS!AG16)</f>
        <v>3.2</v>
      </c>
      <c r="AH6" s="61">
        <f>_xlfn.NUMBERVALUE(trilogiq_IS!AH16)</f>
        <v>3.2</v>
      </c>
      <c r="AI6" s="61">
        <f>_xlfn.NUMBERVALUE(trilogiq_IS!AI16)</f>
        <v>3.2</v>
      </c>
      <c r="AJ6" s="61">
        <f>_xlfn.NUMBERVALUE(trilogiq_IS!AJ16)</f>
        <v>3.3</v>
      </c>
      <c r="AK6" s="61">
        <f>_xlfn.NUMBERVALUE(trilogiq_IS!AK16)</f>
        <v>3.3</v>
      </c>
      <c r="AL6" s="61">
        <f>_xlfn.NUMBERVALUE(trilogiq_IS!AL16)</f>
        <v>4.0999999999999996</v>
      </c>
      <c r="AM6" s="61">
        <f>_xlfn.NUMBERVALUE(trilogiq_IS!AM16)</f>
        <v>4.0999999999999996</v>
      </c>
      <c r="AN6" s="61">
        <f>_xlfn.NUMBERVALUE(trilogiq_IS!AN16)</f>
        <v>3.9</v>
      </c>
      <c r="AO6" s="61">
        <f>_xlfn.NUMBERVALUE(trilogiq_IS!AO16)</f>
        <v>3.9</v>
      </c>
      <c r="AP6" s="61">
        <f>_xlfn.NUMBERVALUE(trilogiq_IS!AP16)</f>
        <v>3.5</v>
      </c>
    </row>
    <row r="7" spans="1:42" ht="15" customHeight="1" x14ac:dyDescent="0.25">
      <c r="A7" s="14"/>
      <c r="B7" s="14" t="s">
        <v>86</v>
      </c>
      <c r="C7" s="15">
        <f t="shared" ref="C7:AP7" si="2">C6/C2</f>
        <v>0.42592592592592599</v>
      </c>
      <c r="D7" s="15">
        <f t="shared" si="2"/>
        <v>0.42592592592592599</v>
      </c>
      <c r="E7" s="15">
        <f t="shared" si="2"/>
        <v>0.34745762711864403</v>
      </c>
      <c r="F7" s="15">
        <f t="shared" si="2"/>
        <v>0.34745762711864403</v>
      </c>
      <c r="G7" s="15">
        <f t="shared" si="2"/>
        <v>0.38461538461538464</v>
      </c>
      <c r="H7" s="15">
        <f t="shared" si="2"/>
        <v>0.38461538461538464</v>
      </c>
      <c r="I7" s="15">
        <f t="shared" si="2"/>
        <v>0.29761904761904762</v>
      </c>
      <c r="J7" s="15">
        <f t="shared" si="2"/>
        <v>0.29761904761904762</v>
      </c>
      <c r="K7" s="15">
        <f t="shared" si="2"/>
        <v>0.29629629629629628</v>
      </c>
      <c r="L7" s="15">
        <f t="shared" si="2"/>
        <v>0.29629629629629628</v>
      </c>
      <c r="M7" s="15">
        <f t="shared" si="2"/>
        <v>2.298850574712644E-2</v>
      </c>
      <c r="N7" s="15">
        <f t="shared" si="2"/>
        <v>2.298850574712644E-2</v>
      </c>
      <c r="O7" s="59">
        <f t="shared" si="2"/>
        <v>0.31707317073170738</v>
      </c>
      <c r="P7" s="59">
        <f t="shared" si="2"/>
        <v>0.31707317073170738</v>
      </c>
      <c r="Q7" s="59">
        <f t="shared" si="2"/>
        <v>0.35897435897435898</v>
      </c>
      <c r="R7" s="59">
        <f t="shared" si="2"/>
        <v>0.35897435897435898</v>
      </c>
      <c r="S7" s="59">
        <f t="shared" si="2"/>
        <v>0.36507936507936506</v>
      </c>
      <c r="T7" s="59">
        <f t="shared" si="2"/>
        <v>0.36507936507936506</v>
      </c>
      <c r="U7" s="59">
        <f t="shared" si="2"/>
        <v>0.3518518518518518</v>
      </c>
      <c r="V7" s="59">
        <f t="shared" si="2"/>
        <v>0.3518518518518518</v>
      </c>
      <c r="W7" s="59">
        <f t="shared" si="2"/>
        <v>0.38</v>
      </c>
      <c r="X7" s="59">
        <f t="shared" si="2"/>
        <v>0.42000000000000004</v>
      </c>
      <c r="Y7" s="59">
        <f t="shared" si="2"/>
        <v>0.33333333333333337</v>
      </c>
      <c r="Z7" s="59">
        <f t="shared" si="2"/>
        <v>0.41269841269841273</v>
      </c>
      <c r="AA7" s="59">
        <f t="shared" si="2"/>
        <v>0.49056603773584911</v>
      </c>
      <c r="AB7" s="59">
        <f t="shared" si="2"/>
        <v>0.58490566037735847</v>
      </c>
      <c r="AC7" s="59">
        <f t="shared" si="2"/>
        <v>0.57407407407407407</v>
      </c>
      <c r="AD7" s="59">
        <f t="shared" si="2"/>
        <v>0.37037037037037035</v>
      </c>
      <c r="AE7" s="59">
        <f t="shared" si="2"/>
        <v>0.37735849056603776</v>
      </c>
      <c r="AF7" s="59">
        <f t="shared" si="2"/>
        <v>0.60377358490566047</v>
      </c>
      <c r="AG7" s="59">
        <f t="shared" si="2"/>
        <v>0.55172413793103448</v>
      </c>
      <c r="AH7" s="59">
        <f t="shared" si="2"/>
        <v>0.55172413793103448</v>
      </c>
      <c r="AI7" s="59">
        <f t="shared" si="2"/>
        <v>0.57142857142857151</v>
      </c>
      <c r="AJ7" s="59">
        <f t="shared" si="2"/>
        <v>0.5892857142857143</v>
      </c>
      <c r="AK7" s="59">
        <f t="shared" si="2"/>
        <v>0.51562499999999989</v>
      </c>
      <c r="AL7" s="59">
        <f t="shared" si="2"/>
        <v>0.64062499999999989</v>
      </c>
      <c r="AM7" s="59">
        <f t="shared" si="2"/>
        <v>0.67213114754098358</v>
      </c>
      <c r="AN7" s="59">
        <f t="shared" si="2"/>
        <v>0.63934426229508201</v>
      </c>
      <c r="AO7" s="59">
        <f t="shared" si="2"/>
        <v>0.70909090909090911</v>
      </c>
      <c r="AP7" s="59">
        <f t="shared" si="2"/>
        <v>0.63636363636363635</v>
      </c>
    </row>
    <row r="8" spans="1:42" ht="15" customHeight="1" x14ac:dyDescent="0.25">
      <c r="A8" s="14"/>
      <c r="B8" s="14" t="s">
        <v>87</v>
      </c>
      <c r="C8" s="15">
        <f>AVERAGE(C7:C7)</f>
        <v>0.42592592592592599</v>
      </c>
      <c r="D8" s="15">
        <f>AVERAGE(C7:D7)</f>
        <v>0.42592592592592599</v>
      </c>
      <c r="E8" s="15">
        <f>AVERAGE(C7:E7)</f>
        <v>0.39976982632349872</v>
      </c>
      <c r="F8" s="15">
        <f t="shared" ref="F8:V8" si="3">AVERAGE(C7:F7)</f>
        <v>0.38669177652228504</v>
      </c>
      <c r="G8" s="15">
        <f t="shared" si="3"/>
        <v>0.37636414119464967</v>
      </c>
      <c r="H8" s="15">
        <f t="shared" si="3"/>
        <v>0.36603650586701431</v>
      </c>
      <c r="I8" s="15">
        <f t="shared" si="3"/>
        <v>0.35357686099211522</v>
      </c>
      <c r="J8" s="15">
        <f t="shared" si="3"/>
        <v>0.34111721611721613</v>
      </c>
      <c r="K8" s="15">
        <f t="shared" si="3"/>
        <v>0.31903744403744405</v>
      </c>
      <c r="L8" s="15">
        <f t="shared" si="3"/>
        <v>0.29695767195767198</v>
      </c>
      <c r="M8" s="15">
        <f t="shared" si="3"/>
        <v>0.22830003648969166</v>
      </c>
      <c r="N8" s="15">
        <f t="shared" si="3"/>
        <v>0.15964240102171134</v>
      </c>
      <c r="O8" s="59">
        <f t="shared" si="3"/>
        <v>0.16483661963056415</v>
      </c>
      <c r="P8" s="59">
        <f t="shared" si="3"/>
        <v>0.17003083823941689</v>
      </c>
      <c r="Q8" s="59">
        <f t="shared" si="3"/>
        <v>0.25402730154622505</v>
      </c>
      <c r="R8" s="59">
        <f t="shared" si="3"/>
        <v>0.3380237648530332</v>
      </c>
      <c r="S8" s="59">
        <f t="shared" si="3"/>
        <v>0.35002531343994764</v>
      </c>
      <c r="T8" s="59">
        <f t="shared" si="3"/>
        <v>0.36202686202686202</v>
      </c>
      <c r="U8" s="59">
        <f t="shared" si="3"/>
        <v>0.36024623524623522</v>
      </c>
      <c r="V8" s="59">
        <f t="shared" si="3"/>
        <v>0.35846560846560843</v>
      </c>
      <c r="W8" s="59">
        <f>AVERAGE(S7:W7)</f>
        <v>0.36277248677248675</v>
      </c>
      <c r="X8" s="59">
        <f>AVERAGE(S7:X7)</f>
        <v>0.37231040564373896</v>
      </c>
      <c r="Y8" s="59">
        <f>AVERAGE(S7:Y7)</f>
        <v>0.36674225245653819</v>
      </c>
      <c r="Z8" s="59">
        <f>AVERAGE(S7:Z7)</f>
        <v>0.37248677248677248</v>
      </c>
      <c r="AA8" s="59">
        <f>AVERAGE(S7:AA7)</f>
        <v>0.38560669084778099</v>
      </c>
      <c r="AB8" s="59">
        <f>AVERAGE(S7:AB7)</f>
        <v>0.4055365878007387</v>
      </c>
      <c r="AC8" s="59">
        <f>AVERAGE(S7:AC7)</f>
        <v>0.42085817746195103</v>
      </c>
      <c r="AD8" s="59">
        <f>AVERAGE(S7:AD7)</f>
        <v>0.4166508602043193</v>
      </c>
      <c r="AE8" s="59">
        <f>AVERAGE(S7:AE7)</f>
        <v>0.41362837023214377</v>
      </c>
      <c r="AF8" s="59">
        <f>AVERAGE(S7:AF7)</f>
        <v>0.42721017128025213</v>
      </c>
      <c r="AG8" s="59">
        <f>AVERAGE(S7:AG7)</f>
        <v>0.43551110239030427</v>
      </c>
      <c r="AH8" s="59">
        <f>AVERAGE(S7:AH7)</f>
        <v>0.44277441711159993</v>
      </c>
      <c r="AI8" s="59">
        <f>AVERAGE(S7:AI7)</f>
        <v>0.45034230854201002</v>
      </c>
      <c r="AJ8" s="59">
        <f>AVERAGE(S7:AJ7)</f>
        <v>0.45806138663888241</v>
      </c>
      <c r="AK8" s="59">
        <f>AVERAGE(S7:AK7)</f>
        <v>0.46109105049999388</v>
      </c>
      <c r="AL8" s="59">
        <f>AVERAGE(S7:AL7)</f>
        <v>0.47006774797499418</v>
      </c>
      <c r="AM8" s="59">
        <f>AVERAGE(S7:AM7)</f>
        <v>0.47968981462099369</v>
      </c>
      <c r="AN8" s="59">
        <f>AVERAGE(S7:AN7)</f>
        <v>0.48694683496981594</v>
      </c>
      <c r="AO8" s="59">
        <f>AVERAGE(S7:AO7)</f>
        <v>0.49660527297508084</v>
      </c>
      <c r="AP8" s="59">
        <f>AVERAGE(S7:AP7)</f>
        <v>0.50242853811627064</v>
      </c>
    </row>
    <row r="9" spans="1:42" x14ac:dyDescent="0.2"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</row>
    <row r="10" spans="1:42" ht="15" customHeight="1" x14ac:dyDescent="0.25">
      <c r="A10" s="6" t="s">
        <v>88</v>
      </c>
      <c r="C10" s="35">
        <f>_xlfn.NUMBERVALUE(trilogiq_IS!D32)</f>
        <v>-0.1</v>
      </c>
      <c r="D10" s="35">
        <f>_xlfn.NUMBERVALUE(trilogiq_IS!E32)</f>
        <v>-0.1</v>
      </c>
      <c r="E10" s="35">
        <f>_xlfn.NUMBERVALUE(trilogiq_IS!F32)</f>
        <v>0</v>
      </c>
      <c r="F10" s="35">
        <f>_xlfn.NUMBERVALUE(trilogiq_IS!G32)</f>
        <v>0</v>
      </c>
      <c r="G10" s="35">
        <f>_xlfn.NUMBERVALUE(trilogiq_IS!H32)</f>
        <v>0</v>
      </c>
      <c r="H10" s="35">
        <f>_xlfn.NUMBERVALUE(trilogiq_IS!I32)</f>
        <v>0</v>
      </c>
      <c r="I10" s="35">
        <f>_xlfn.NUMBERVALUE(trilogiq_IS!J32)</f>
        <v>0</v>
      </c>
      <c r="J10" s="35">
        <f>_xlfn.NUMBERVALUE(trilogiq_IS!K32)</f>
        <v>0</v>
      </c>
      <c r="K10" s="35">
        <f>_xlfn.NUMBERVALUE(trilogiq_IS!L32)</f>
        <v>0</v>
      </c>
      <c r="L10" s="35">
        <f>_xlfn.NUMBERVALUE(trilogiq_IS!M32)</f>
        <v>0</v>
      </c>
      <c r="M10" s="35">
        <f>_xlfn.NUMBERVALUE(trilogiq_IS!N32)</f>
        <v>0</v>
      </c>
      <c r="N10" s="35">
        <f>_xlfn.NUMBERVALUE(trilogiq_IS!O32)</f>
        <v>0</v>
      </c>
      <c r="O10" s="61">
        <f>_xlfn.NUMBERVALUE(trilogiq_IS!P32)</f>
        <v>0</v>
      </c>
      <c r="P10" s="61">
        <f>_xlfn.NUMBERVALUE(trilogiq_IS!Q32)</f>
        <v>0</v>
      </c>
      <c r="Q10" s="61">
        <f>_xlfn.NUMBERVALUE(trilogiq_IS!R32)</f>
        <v>0</v>
      </c>
      <c r="R10" s="61">
        <f>_xlfn.NUMBERVALUE(trilogiq_IS!S32)</f>
        <v>0</v>
      </c>
      <c r="S10" s="61">
        <f>_xlfn.NUMBERVALUE(trilogiq_IS!T32)</f>
        <v>0</v>
      </c>
      <c r="T10" s="61">
        <f>_xlfn.NUMBERVALUE(trilogiq_IS!U32)</f>
        <v>0</v>
      </c>
      <c r="U10" s="61">
        <f>_xlfn.NUMBERVALUE(trilogiq_IS!V32)</f>
        <v>0</v>
      </c>
      <c r="V10" s="61">
        <f>_xlfn.NUMBERVALUE(trilogiq_IS!W32)</f>
        <v>0</v>
      </c>
      <c r="W10" s="61">
        <f>_xlfn.NUMBERVALUE(trilogiq_IS!W32)</f>
        <v>0</v>
      </c>
      <c r="X10" s="61">
        <f>_xlfn.NUMBERVALUE(trilogiq_IS!X32)</f>
        <v>0</v>
      </c>
      <c r="Y10" s="61">
        <f>_xlfn.NUMBERVALUE(trilogiq_IS!Y32)</f>
        <v>0</v>
      </c>
      <c r="Z10" s="61">
        <f>_xlfn.NUMBERVALUE(trilogiq_IS!Z32)</f>
        <v>0</v>
      </c>
      <c r="AA10" s="61">
        <f>_xlfn.NUMBERVALUE(trilogiq_IS!AA32)</f>
        <v>0</v>
      </c>
      <c r="AB10" s="61">
        <f>_xlfn.NUMBERVALUE(trilogiq_IS!AB32)</f>
        <v>0</v>
      </c>
      <c r="AC10" s="61">
        <f>_xlfn.NUMBERVALUE(trilogiq_IS!AC32)</f>
        <v>0</v>
      </c>
      <c r="AD10" s="61">
        <f>_xlfn.NUMBERVALUE(trilogiq_IS!AD33)</f>
        <v>0.2</v>
      </c>
      <c r="AE10" s="61">
        <f>_xlfn.NUMBERVALUE(trilogiq_IS!AE33)</f>
        <v>0.2</v>
      </c>
      <c r="AF10" s="61">
        <f>_xlfn.NUMBERVALUE(trilogiq_IS!AF33)</f>
        <v>-0.1</v>
      </c>
      <c r="AG10" s="61">
        <f>_xlfn.NUMBERVALUE(trilogiq_IS!AG33)</f>
        <v>-0.1</v>
      </c>
      <c r="AH10" s="61">
        <f>_xlfn.NUMBERVALUE(trilogiq_IS!AH33)</f>
        <v>-0.2</v>
      </c>
      <c r="AI10" s="61">
        <f>_xlfn.NUMBERVALUE(trilogiq_IS!AI33)</f>
        <v>-0.2</v>
      </c>
      <c r="AJ10" s="61">
        <f>_xlfn.NUMBERVALUE(trilogiq_IS!AJ33)</f>
        <v>0.2</v>
      </c>
      <c r="AK10" s="61">
        <f>_xlfn.NUMBERVALUE(trilogiq_IS!AK33)</f>
        <v>0.2</v>
      </c>
      <c r="AL10" s="61">
        <f>_xlfn.NUMBERVALUE(trilogiq_IS!AL33)</f>
        <v>0.6</v>
      </c>
      <c r="AM10" s="61">
        <f>_xlfn.NUMBERVALUE(trilogiq_IS!AM33)</f>
        <v>0.6</v>
      </c>
      <c r="AN10" s="61">
        <f>_xlfn.NUMBERVALUE(trilogiq_IS!AN33)</f>
        <v>0.7</v>
      </c>
      <c r="AO10" s="61">
        <f>_xlfn.NUMBERVALUE(trilogiq_IS!AO33)</f>
        <v>0.7</v>
      </c>
      <c r="AP10" s="61">
        <f>_xlfn.NUMBERVALUE(trilogiq_IS!AP33)</f>
        <v>-0.1</v>
      </c>
    </row>
    <row r="11" spans="1:42" ht="15" customHeight="1" x14ac:dyDescent="0.25">
      <c r="A11" s="14"/>
      <c r="B11" s="14" t="s">
        <v>86</v>
      </c>
      <c r="C11" s="15">
        <f t="shared" ref="C11:AP11" si="4">C10/C2</f>
        <v>-6.17283950617284E-3</v>
      </c>
      <c r="D11" s="15">
        <f t="shared" si="4"/>
        <v>-6.17283950617284E-3</v>
      </c>
      <c r="E11" s="15">
        <f t="shared" si="4"/>
        <v>0</v>
      </c>
      <c r="F11" s="15">
        <f t="shared" si="4"/>
        <v>0</v>
      </c>
      <c r="G11" s="15">
        <f t="shared" si="4"/>
        <v>0</v>
      </c>
      <c r="H11" s="15">
        <f t="shared" si="4"/>
        <v>0</v>
      </c>
      <c r="I11" s="15">
        <f t="shared" si="4"/>
        <v>0</v>
      </c>
      <c r="J11" s="15">
        <f t="shared" si="4"/>
        <v>0</v>
      </c>
      <c r="K11" s="15">
        <f t="shared" si="4"/>
        <v>0</v>
      </c>
      <c r="L11" s="15">
        <f t="shared" si="4"/>
        <v>0</v>
      </c>
      <c r="M11" s="15">
        <f t="shared" si="4"/>
        <v>0</v>
      </c>
      <c r="N11" s="15">
        <f t="shared" si="4"/>
        <v>0</v>
      </c>
      <c r="O11" s="59">
        <f t="shared" si="4"/>
        <v>0</v>
      </c>
      <c r="P11" s="59">
        <f t="shared" si="4"/>
        <v>0</v>
      </c>
      <c r="Q11" s="59">
        <f t="shared" si="4"/>
        <v>0</v>
      </c>
      <c r="R11" s="59">
        <f t="shared" si="4"/>
        <v>0</v>
      </c>
      <c r="S11" s="59">
        <f t="shared" si="4"/>
        <v>0</v>
      </c>
      <c r="T11" s="59">
        <f t="shared" si="4"/>
        <v>0</v>
      </c>
      <c r="U11" s="59">
        <f t="shared" si="4"/>
        <v>0</v>
      </c>
      <c r="V11" s="59">
        <f t="shared" si="4"/>
        <v>0</v>
      </c>
      <c r="W11" s="59">
        <f t="shared" si="4"/>
        <v>0</v>
      </c>
      <c r="X11" s="59">
        <f t="shared" si="4"/>
        <v>0</v>
      </c>
      <c r="Y11" s="59">
        <f t="shared" si="4"/>
        <v>0</v>
      </c>
      <c r="Z11" s="59">
        <f t="shared" si="4"/>
        <v>0</v>
      </c>
      <c r="AA11" s="59">
        <f t="shared" si="4"/>
        <v>0</v>
      </c>
      <c r="AB11" s="59">
        <f t="shared" si="4"/>
        <v>0</v>
      </c>
      <c r="AC11" s="59">
        <f t="shared" si="4"/>
        <v>0</v>
      </c>
      <c r="AD11" s="59">
        <f t="shared" si="4"/>
        <v>3.7037037037037035E-2</v>
      </c>
      <c r="AE11" s="59">
        <f t="shared" si="4"/>
        <v>3.7735849056603779E-2</v>
      </c>
      <c r="AF11" s="59">
        <f t="shared" si="4"/>
        <v>-1.886792452830189E-2</v>
      </c>
      <c r="AG11" s="59">
        <f t="shared" si="4"/>
        <v>-1.7241379310344827E-2</v>
      </c>
      <c r="AH11" s="59">
        <f t="shared" si="4"/>
        <v>-3.4482758620689655E-2</v>
      </c>
      <c r="AI11" s="59">
        <f t="shared" si="4"/>
        <v>-3.5714285714285719E-2</v>
      </c>
      <c r="AJ11" s="59">
        <f t="shared" si="4"/>
        <v>3.5714285714285719E-2</v>
      </c>
      <c r="AK11" s="59">
        <f t="shared" si="4"/>
        <v>3.125E-2</v>
      </c>
      <c r="AL11" s="59">
        <f t="shared" si="4"/>
        <v>9.3749999999999986E-2</v>
      </c>
      <c r="AM11" s="59">
        <f t="shared" si="4"/>
        <v>9.8360655737704916E-2</v>
      </c>
      <c r="AN11" s="59">
        <f t="shared" si="4"/>
        <v>0.11475409836065574</v>
      </c>
      <c r="AO11" s="59">
        <f t="shared" si="4"/>
        <v>0.12727272727272726</v>
      </c>
      <c r="AP11" s="59">
        <f t="shared" si="4"/>
        <v>-1.8181818181818184E-2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0"/>
  <sheetViews>
    <sheetView workbookViewId="0">
      <selection activeCell="K5" sqref="K5"/>
    </sheetView>
  </sheetViews>
  <sheetFormatPr defaultColWidth="9.140625" defaultRowHeight="12.75" x14ac:dyDescent="0.2"/>
  <cols>
    <col min="1" max="3" width="9.140625" style="6" customWidth="1"/>
    <col min="4" max="16384" width="9.140625" style="6"/>
  </cols>
  <sheetData>
    <row r="1" spans="1:43" ht="15" customHeight="1" x14ac:dyDescent="0.25">
      <c r="A1" s="6">
        <v>1</v>
      </c>
      <c r="B1" s="6" t="s">
        <v>89</v>
      </c>
      <c r="J1" s="20"/>
      <c r="K1" s="21">
        <v>1</v>
      </c>
      <c r="L1" t="s">
        <v>90</v>
      </c>
      <c r="M1" s="22"/>
    </row>
    <row r="2" spans="1:43" ht="15" customHeight="1" x14ac:dyDescent="0.25">
      <c r="A2" s="6">
        <f t="shared" ref="A2:A9" si="0">A1+1</f>
        <v>2</v>
      </c>
      <c r="B2" s="6" t="s">
        <v>91</v>
      </c>
      <c r="J2" s="20"/>
      <c r="K2" s="21">
        <v>1</v>
      </c>
      <c r="L2" t="s">
        <v>92</v>
      </c>
    </row>
    <row r="3" spans="1:43" ht="15" customHeight="1" x14ac:dyDescent="0.25">
      <c r="A3" s="6">
        <f t="shared" si="0"/>
        <v>3</v>
      </c>
      <c r="B3" s="6" t="s">
        <v>93</v>
      </c>
      <c r="J3" s="20"/>
      <c r="K3" s="69">
        <v>0</v>
      </c>
      <c r="L3" t="s">
        <v>94</v>
      </c>
    </row>
    <row r="4" spans="1:43" ht="15" customHeight="1" x14ac:dyDescent="0.25">
      <c r="A4" s="6">
        <f t="shared" si="0"/>
        <v>4</v>
      </c>
      <c r="B4" s="6" t="s">
        <v>95</v>
      </c>
      <c r="J4" s="20"/>
      <c r="K4" s="21">
        <v>0</v>
      </c>
      <c r="L4" t="s">
        <v>96</v>
      </c>
    </row>
    <row r="5" spans="1:43" ht="15" customHeight="1" x14ac:dyDescent="0.25">
      <c r="A5" s="6">
        <f t="shared" si="0"/>
        <v>5</v>
      </c>
      <c r="B5" s="6" t="s">
        <v>97</v>
      </c>
      <c r="J5" s="20"/>
      <c r="K5" s="21">
        <v>1</v>
      </c>
      <c r="L5" t="s">
        <v>98</v>
      </c>
    </row>
    <row r="6" spans="1:43" ht="15" customHeight="1" x14ac:dyDescent="0.25">
      <c r="A6" s="6">
        <f t="shared" si="0"/>
        <v>6</v>
      </c>
      <c r="B6" s="6" t="s">
        <v>99</v>
      </c>
      <c r="J6" s="20"/>
      <c r="K6" s="21">
        <v>1</v>
      </c>
      <c r="L6" t="s">
        <v>100</v>
      </c>
    </row>
    <row r="7" spans="1:43" ht="15" customHeight="1" x14ac:dyDescent="0.25">
      <c r="A7" s="6">
        <f t="shared" si="0"/>
        <v>7</v>
      </c>
      <c r="B7" s="6" t="s">
        <v>101</v>
      </c>
      <c r="J7" s="20"/>
      <c r="K7" s="21">
        <v>1</v>
      </c>
      <c r="L7" t="s">
        <v>102</v>
      </c>
    </row>
    <row r="8" spans="1:43" ht="15" customHeight="1" x14ac:dyDescent="0.25">
      <c r="A8" s="6">
        <f t="shared" si="0"/>
        <v>8</v>
      </c>
      <c r="B8" s="6" t="s">
        <v>103</v>
      </c>
      <c r="J8" s="20"/>
      <c r="K8" s="21">
        <v>0</v>
      </c>
      <c r="L8" t="s">
        <v>104</v>
      </c>
    </row>
    <row r="9" spans="1:43" ht="15" customHeight="1" x14ac:dyDescent="0.25">
      <c r="A9" s="6">
        <f t="shared" si="0"/>
        <v>9</v>
      </c>
      <c r="B9" s="6" t="s">
        <v>105</v>
      </c>
      <c r="J9" s="20"/>
      <c r="K9" s="21">
        <v>1</v>
      </c>
      <c r="L9" t="s">
        <v>106</v>
      </c>
    </row>
    <row r="10" spans="1:43" ht="15" customHeight="1" x14ac:dyDescent="0.25">
      <c r="A10" s="17" t="s">
        <v>107</v>
      </c>
      <c r="B10" s="17"/>
      <c r="C10" s="17"/>
      <c r="D10" s="17"/>
      <c r="E10" s="17"/>
      <c r="F10" s="17"/>
      <c r="G10" s="17"/>
      <c r="H10" s="17"/>
      <c r="I10" s="17"/>
      <c r="J10" s="18"/>
      <c r="K10" s="28">
        <f t="shared" ref="K10:AQ10" si="1">SUM(K1:K9)</f>
        <v>6</v>
      </c>
      <c r="L10">
        <f t="shared" si="1"/>
        <v>0</v>
      </c>
      <c r="M10">
        <f t="shared" si="1"/>
        <v>0</v>
      </c>
      <c r="N10">
        <f t="shared" si="1"/>
        <v>0</v>
      </c>
      <c r="O10">
        <f t="shared" si="1"/>
        <v>0</v>
      </c>
      <c r="P10">
        <f t="shared" si="1"/>
        <v>0</v>
      </c>
      <c r="Q10">
        <f t="shared" si="1"/>
        <v>0</v>
      </c>
      <c r="R10">
        <f t="shared" si="1"/>
        <v>0</v>
      </c>
      <c r="S10">
        <f t="shared" si="1"/>
        <v>0</v>
      </c>
      <c r="T10">
        <f t="shared" si="1"/>
        <v>0</v>
      </c>
      <c r="U10">
        <f t="shared" si="1"/>
        <v>0</v>
      </c>
      <c r="V10">
        <f t="shared" si="1"/>
        <v>0</v>
      </c>
      <c r="W10">
        <f t="shared" si="1"/>
        <v>0</v>
      </c>
      <c r="X10">
        <f t="shared" si="1"/>
        <v>0</v>
      </c>
      <c r="Y10">
        <f t="shared" si="1"/>
        <v>0</v>
      </c>
      <c r="Z10">
        <f t="shared" si="1"/>
        <v>0</v>
      </c>
      <c r="AA10">
        <f t="shared" si="1"/>
        <v>0</v>
      </c>
      <c r="AB10">
        <f t="shared" si="1"/>
        <v>0</v>
      </c>
      <c r="AC10">
        <f t="shared" si="1"/>
        <v>0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1"/>
        <v>0</v>
      </c>
      <c r="AH10">
        <f t="shared" si="1"/>
        <v>0</v>
      </c>
      <c r="AI10">
        <f t="shared" si="1"/>
        <v>0</v>
      </c>
      <c r="AJ10">
        <f t="shared" si="1"/>
        <v>0</v>
      </c>
      <c r="AK10">
        <f t="shared" si="1"/>
        <v>0</v>
      </c>
      <c r="AL10">
        <f t="shared" si="1"/>
        <v>0</v>
      </c>
      <c r="AM10">
        <f t="shared" si="1"/>
        <v>0</v>
      </c>
      <c r="AN10">
        <f t="shared" si="1"/>
        <v>0</v>
      </c>
      <c r="AO10">
        <f t="shared" si="1"/>
        <v>0</v>
      </c>
      <c r="AP10">
        <f t="shared" si="1"/>
        <v>0</v>
      </c>
      <c r="AQ10">
        <f t="shared" si="1"/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23"/>
  <sheetViews>
    <sheetView tabSelected="1" workbookViewId="0">
      <selection activeCell="H22" sqref="H22"/>
    </sheetView>
  </sheetViews>
  <sheetFormatPr defaultRowHeight="15" x14ac:dyDescent="0.25"/>
  <cols>
    <col min="1" max="5" width="9.7109375" customWidth="1"/>
  </cols>
  <sheetData>
    <row r="1" spans="1:43" x14ac:dyDescent="0.25">
      <c r="A1" s="4" t="s">
        <v>108</v>
      </c>
    </row>
    <row r="2" spans="1:43" x14ac:dyDescent="0.25">
      <c r="A2" t="s">
        <v>109</v>
      </c>
      <c r="F2" s="19"/>
      <c r="G2" s="1"/>
      <c r="H2" s="56">
        <v>1</v>
      </c>
      <c r="I2" t="s">
        <v>110</v>
      </c>
    </row>
    <row r="3" spans="1:43" x14ac:dyDescent="0.25">
      <c r="A3" t="s">
        <v>111</v>
      </c>
      <c r="F3" s="19"/>
      <c r="G3" s="1"/>
      <c r="H3" s="56">
        <v>1</v>
      </c>
      <c r="I3" t="s">
        <v>112</v>
      </c>
    </row>
    <row r="4" spans="1:43" x14ac:dyDescent="0.25">
      <c r="A4" t="s">
        <v>113</v>
      </c>
      <c r="F4" s="19"/>
      <c r="G4" s="1"/>
      <c r="H4" s="38">
        <v>1</v>
      </c>
      <c r="I4" t="s">
        <v>114</v>
      </c>
    </row>
    <row r="5" spans="1:43" x14ac:dyDescent="0.25">
      <c r="A5" t="s">
        <v>115</v>
      </c>
      <c r="F5" s="19"/>
      <c r="G5" s="1"/>
      <c r="H5" s="38">
        <v>1</v>
      </c>
      <c r="I5" t="s">
        <v>116</v>
      </c>
    </row>
    <row r="6" spans="1:43" x14ac:dyDescent="0.25">
      <c r="A6" t="s">
        <v>117</v>
      </c>
      <c r="F6" s="19"/>
      <c r="G6" s="1"/>
      <c r="H6" s="38">
        <v>1</v>
      </c>
      <c r="I6" t="s">
        <v>118</v>
      </c>
    </row>
    <row r="7" spans="1:43" x14ac:dyDescent="0.25">
      <c r="A7" t="s">
        <v>119</v>
      </c>
      <c r="F7" s="19"/>
      <c r="G7" s="1"/>
      <c r="H7" s="38">
        <v>1</v>
      </c>
      <c r="I7" t="s">
        <v>120</v>
      </c>
    </row>
    <row r="8" spans="1:43" x14ac:dyDescent="0.25">
      <c r="A8" t="s">
        <v>121</v>
      </c>
      <c r="F8" s="19"/>
      <c r="G8" s="1"/>
      <c r="H8" s="38">
        <v>1</v>
      </c>
      <c r="I8" t="s">
        <v>122</v>
      </c>
    </row>
    <row r="9" spans="1:43" x14ac:dyDescent="0.25">
      <c r="A9" t="s">
        <v>123</v>
      </c>
      <c r="F9" s="19"/>
      <c r="G9" s="1"/>
      <c r="H9" s="38">
        <v>1</v>
      </c>
      <c r="I9" t="s">
        <v>124</v>
      </c>
    </row>
    <row r="10" spans="1:43" x14ac:dyDescent="0.25">
      <c r="A10" t="s">
        <v>125</v>
      </c>
      <c r="F10" s="19"/>
      <c r="G10" s="1"/>
      <c r="H10" s="38">
        <v>1</v>
      </c>
      <c r="I10" t="s">
        <v>126</v>
      </c>
    </row>
    <row r="11" spans="1:43" x14ac:dyDescent="0.25">
      <c r="A11" s="2" t="s">
        <v>127</v>
      </c>
      <c r="B11" s="2"/>
      <c r="C11" s="2"/>
      <c r="D11" s="2"/>
      <c r="E11" s="2"/>
      <c r="F11" s="2"/>
      <c r="G11" s="3"/>
      <c r="H11" s="39">
        <f t="shared" ref="H11:AQ11" si="0">SUM(H2:H10)</f>
        <v>9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0"/>
        <v>0</v>
      </c>
      <c r="X11">
        <f t="shared" si="0"/>
        <v>0</v>
      </c>
      <c r="Y11">
        <f t="shared" si="0"/>
        <v>0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0</v>
      </c>
      <c r="AE11">
        <f t="shared" si="0"/>
        <v>0</v>
      </c>
      <c r="AF11">
        <f t="shared" si="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0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</row>
    <row r="13" spans="1:43" x14ac:dyDescent="0.25">
      <c r="A13" s="4" t="s">
        <v>128</v>
      </c>
    </row>
    <row r="14" spans="1:43" x14ac:dyDescent="0.25">
      <c r="A14" t="s">
        <v>129</v>
      </c>
      <c r="F14" s="19"/>
      <c r="G14" s="25"/>
      <c r="H14" s="38">
        <v>1</v>
      </c>
      <c r="I14" t="s">
        <v>130</v>
      </c>
    </row>
    <row r="15" spans="1:43" x14ac:dyDescent="0.25">
      <c r="A15" t="s">
        <v>131</v>
      </c>
      <c r="F15" s="19"/>
      <c r="G15" s="25"/>
      <c r="H15">
        <v>1</v>
      </c>
      <c r="I15" t="s">
        <v>132</v>
      </c>
    </row>
    <row r="16" spans="1:43" x14ac:dyDescent="0.25">
      <c r="A16" t="s">
        <v>133</v>
      </c>
      <c r="F16" s="19"/>
      <c r="G16" s="25"/>
      <c r="H16">
        <v>0</v>
      </c>
      <c r="I16" t="s">
        <v>134</v>
      </c>
    </row>
    <row r="17" spans="1:9" x14ac:dyDescent="0.25">
      <c r="A17" t="s">
        <v>135</v>
      </c>
      <c r="F17" s="19"/>
      <c r="G17" s="25"/>
      <c r="H17">
        <v>1</v>
      </c>
      <c r="I17" t="s">
        <v>136</v>
      </c>
    </row>
    <row r="18" spans="1:9" x14ac:dyDescent="0.25">
      <c r="A18" t="s">
        <v>137</v>
      </c>
      <c r="F18" s="19"/>
      <c r="G18" s="25"/>
      <c r="H18">
        <v>1</v>
      </c>
      <c r="I18" t="s">
        <v>138</v>
      </c>
    </row>
    <row r="19" spans="1:9" x14ac:dyDescent="0.25">
      <c r="A19" t="s">
        <v>139</v>
      </c>
      <c r="G19" s="25"/>
      <c r="H19">
        <v>0</v>
      </c>
      <c r="I19" t="s">
        <v>140</v>
      </c>
    </row>
    <row r="20" spans="1:9" x14ac:dyDescent="0.25">
      <c r="A20" t="s">
        <v>141</v>
      </c>
      <c r="F20" s="19"/>
      <c r="G20" s="25"/>
      <c r="H20">
        <v>1</v>
      </c>
      <c r="I20" t="s">
        <v>142</v>
      </c>
    </row>
    <row r="21" spans="1:9" x14ac:dyDescent="0.25">
      <c r="A21" t="s">
        <v>143</v>
      </c>
      <c r="G21" s="25"/>
      <c r="H21" s="38">
        <v>1</v>
      </c>
      <c r="I21" t="s">
        <v>120</v>
      </c>
    </row>
    <row r="22" spans="1:9" x14ac:dyDescent="0.25">
      <c r="A22" t="s">
        <v>144</v>
      </c>
      <c r="F22" s="19"/>
      <c r="G22" s="25"/>
      <c r="H22">
        <v>1</v>
      </c>
      <c r="I22" t="s">
        <v>145</v>
      </c>
    </row>
    <row r="23" spans="1:9" x14ac:dyDescent="0.25">
      <c r="A23" s="2" t="s">
        <v>127</v>
      </c>
      <c r="B23" s="2"/>
      <c r="C23" s="2"/>
      <c r="D23" s="2"/>
      <c r="E23" s="2"/>
      <c r="F23" s="2"/>
      <c r="G23" s="3"/>
      <c r="H23" s="3">
        <f>SUM(H14:H22)</f>
        <v>7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33"/>
  <sheetViews>
    <sheetView workbookViewId="0">
      <pane xSplit="1" ySplit="1" topLeftCell="AF2" activePane="bottomRight" state="frozen"/>
      <selection pane="topRight" activeCell="B1" sqref="B1"/>
      <selection pane="bottomLeft" activeCell="A2" sqref="A2"/>
      <selection pane="bottomRight" activeCell="AP28" sqref="AP28"/>
    </sheetView>
  </sheetViews>
  <sheetFormatPr defaultColWidth="9.140625" defaultRowHeight="12.75" x14ac:dyDescent="0.2"/>
  <cols>
    <col min="1" max="2" width="12.5703125" style="6" customWidth="1"/>
    <col min="3" max="42" width="12.7109375" style="6" customWidth="1"/>
    <col min="43" max="44" width="9.140625" style="6" customWidth="1"/>
    <col min="45" max="16384" width="9.140625" style="6"/>
  </cols>
  <sheetData>
    <row r="1" spans="1:42" x14ac:dyDescent="0.2">
      <c r="C1" s="41" t="s">
        <v>12</v>
      </c>
      <c r="D1" s="41" t="s">
        <v>13</v>
      </c>
      <c r="E1" s="41" t="s">
        <v>14</v>
      </c>
      <c r="F1" s="41" t="s">
        <v>15</v>
      </c>
      <c r="G1" s="41" t="s">
        <v>16</v>
      </c>
      <c r="H1" s="41" t="s">
        <v>17</v>
      </c>
      <c r="I1" s="41" t="s">
        <v>18</v>
      </c>
      <c r="J1" s="41" t="s">
        <v>19</v>
      </c>
      <c r="K1" s="41" t="s">
        <v>20</v>
      </c>
      <c r="L1" s="41" t="s">
        <v>21</v>
      </c>
      <c r="M1" s="41" t="s">
        <v>22</v>
      </c>
      <c r="N1" s="41" t="s">
        <v>23</v>
      </c>
      <c r="O1" s="41" t="s">
        <v>24</v>
      </c>
      <c r="P1" s="41" t="s">
        <v>25</v>
      </c>
      <c r="Q1" s="41" t="s">
        <v>26</v>
      </c>
      <c r="R1" s="41" t="s">
        <v>27</v>
      </c>
      <c r="S1" s="41" t="s">
        <v>28</v>
      </c>
      <c r="T1" s="41" t="s">
        <v>29</v>
      </c>
      <c r="U1" s="41" t="s">
        <v>30</v>
      </c>
      <c r="V1" s="62" t="s">
        <v>31</v>
      </c>
      <c r="W1" s="62" t="s">
        <v>32</v>
      </c>
      <c r="X1" s="62" t="s">
        <v>33</v>
      </c>
      <c r="Y1" s="62" t="s">
        <v>34</v>
      </c>
      <c r="Z1" s="62" t="s">
        <v>35</v>
      </c>
      <c r="AA1" s="62" t="s">
        <v>36</v>
      </c>
      <c r="AB1" s="62" t="s">
        <v>37</v>
      </c>
      <c r="AC1" s="62" t="s">
        <v>38</v>
      </c>
      <c r="AD1" s="62" t="s">
        <v>39</v>
      </c>
      <c r="AE1" s="62" t="s">
        <v>40</v>
      </c>
      <c r="AF1" s="62" t="s">
        <v>41</v>
      </c>
      <c r="AG1" s="62" t="s">
        <v>42</v>
      </c>
      <c r="AH1" s="62" t="s">
        <v>43</v>
      </c>
      <c r="AI1" s="62" t="s">
        <v>44</v>
      </c>
      <c r="AJ1" s="62" t="s">
        <v>45</v>
      </c>
      <c r="AK1" s="62" t="s">
        <v>46</v>
      </c>
      <c r="AL1" s="62" t="s">
        <v>47</v>
      </c>
      <c r="AM1" s="62" t="s">
        <v>48</v>
      </c>
      <c r="AN1" s="62" t="s">
        <v>49</v>
      </c>
      <c r="AO1" s="62" t="s">
        <v>50</v>
      </c>
      <c r="AP1" s="62" t="s">
        <v>51</v>
      </c>
    </row>
    <row r="2" spans="1:42" x14ac:dyDescent="0.2">
      <c r="A2" s="6" t="s">
        <v>57</v>
      </c>
      <c r="C2" s="7">
        <f>_xlfn.NUMBERVALUE(trilogiq_bs!D27)</f>
        <v>66.900000000000006</v>
      </c>
      <c r="D2" s="7">
        <f>_xlfn.NUMBERVALUE(trilogiq_bs!E27)</f>
        <v>66.900000000000006</v>
      </c>
      <c r="E2" s="7">
        <f>_xlfn.NUMBERVALUE(trilogiq_bs!F27)</f>
        <v>63.3</v>
      </c>
      <c r="F2" s="7">
        <f>_xlfn.NUMBERVALUE(trilogiq_bs!G27)</f>
        <v>63.3</v>
      </c>
      <c r="G2" s="7">
        <f>_xlfn.NUMBERVALUE(trilogiq_bs!H27)</f>
        <v>63.2</v>
      </c>
      <c r="H2" s="7">
        <f>_xlfn.NUMBERVALUE(trilogiq_bs!I27)</f>
        <v>63.2</v>
      </c>
      <c r="I2" s="7">
        <f>_xlfn.NUMBERVALUE(trilogiq_bs!J27)</f>
        <v>60.1</v>
      </c>
      <c r="J2" s="7">
        <f>_xlfn.NUMBERVALUE(trilogiq_bs!K27)</f>
        <v>60.1</v>
      </c>
      <c r="K2" s="7">
        <f>_xlfn.NUMBERVALUE(trilogiq_bs!L27)</f>
        <v>58.9</v>
      </c>
      <c r="L2" s="7">
        <f>_xlfn.NUMBERVALUE(trilogiq_bs!M27)</f>
        <v>58.9</v>
      </c>
      <c r="M2" s="7">
        <f>_xlfn.NUMBERVALUE(trilogiq_bs!N27)</f>
        <v>52</v>
      </c>
      <c r="N2" s="7">
        <f>_xlfn.NUMBERVALUE(trilogiq_bs!O27)</f>
        <v>52</v>
      </c>
      <c r="O2" s="7">
        <f>_xlfn.NUMBERVALUE(trilogiq_bs!P27)</f>
        <v>0</v>
      </c>
      <c r="P2" s="7">
        <f>_xlfn.NUMBERVALUE(trilogiq_bs!Q27)</f>
        <v>0</v>
      </c>
      <c r="Q2" s="7">
        <f>_xlfn.NUMBERVALUE(trilogiq_bs!R27)</f>
        <v>47.1</v>
      </c>
      <c r="R2" s="7">
        <f>_xlfn.NUMBERVALUE(trilogiq_bs!S27)</f>
        <v>47.1</v>
      </c>
      <c r="S2" s="7">
        <f>_xlfn.NUMBERVALUE(trilogiq_bs!T27)</f>
        <v>44.2</v>
      </c>
      <c r="T2" s="7">
        <f>_xlfn.NUMBERVALUE(trilogiq_bs!U27)</f>
        <v>44.2</v>
      </c>
      <c r="U2" s="7">
        <f>_xlfn.NUMBERVALUE(trilogiq_bs!V27)</f>
        <v>40.799999999999997</v>
      </c>
      <c r="V2" s="63">
        <f>_xlfn.NUMBERVALUE(trilogiq_bs!W27)</f>
        <v>40.799999999999997</v>
      </c>
      <c r="W2" s="63">
        <f>_xlfn.NUMBERVALUE(trilogiq_bs!W27)</f>
        <v>40.799999999999997</v>
      </c>
      <c r="X2" s="63">
        <f>_xlfn.NUMBERVALUE(trilogiq_bs!X27)</f>
        <v>39.700000000000003</v>
      </c>
      <c r="Y2" s="63">
        <f>_xlfn.NUMBERVALUE(trilogiq_bs!Y27)</f>
        <v>39.700000000000003</v>
      </c>
      <c r="Z2" s="63">
        <f>_xlfn.NUMBERVALUE(trilogiq_bs!Z27)</f>
        <v>0</v>
      </c>
      <c r="AA2" s="63">
        <f>_xlfn.NUMBERVALUE(trilogiq_bs!AA27)</f>
        <v>0</v>
      </c>
      <c r="AB2" s="63">
        <f>_xlfn.NUMBERVALUE(trilogiq_bs!AB27)</f>
        <v>40</v>
      </c>
      <c r="AC2" s="63">
        <f>_xlfn.NUMBERVALUE(trilogiq_bs!AC27)</f>
        <v>40</v>
      </c>
      <c r="AD2" s="63">
        <f>_xlfn.NUMBERVALUE(trilogiq_bs!AD27)</f>
        <v>0</v>
      </c>
      <c r="AE2" s="63">
        <f>_xlfn.NUMBERVALUE(trilogiq_bs!AE27)</f>
        <v>0</v>
      </c>
      <c r="AF2" s="63">
        <f>_xlfn.NUMBERVALUE(trilogiq_bs!AF27)</f>
        <v>40.700000000000003</v>
      </c>
      <c r="AG2" s="63">
        <f>_xlfn.NUMBERVALUE(trilogiq_bs!AG27)</f>
        <v>40.700000000000003</v>
      </c>
      <c r="AH2" s="63">
        <f>_xlfn.NUMBERVALUE(trilogiq_bs!AH27)</f>
        <v>39.799999999999997</v>
      </c>
      <c r="AI2" s="63">
        <f>_xlfn.NUMBERVALUE(trilogiq_bs!AI27)</f>
        <v>39.799999999999997</v>
      </c>
      <c r="AJ2" s="63">
        <f>_xlfn.NUMBERVALUE(trilogiq_bs!AJ27)</f>
        <v>40.200000000000003</v>
      </c>
      <c r="AK2" s="63">
        <f>_xlfn.NUMBERVALUE(trilogiq_bs!AK27)</f>
        <v>40.200000000000003</v>
      </c>
      <c r="AL2" s="63">
        <f>_xlfn.NUMBERVALUE(trilogiq_bs!AL27)</f>
        <v>41.9</v>
      </c>
      <c r="AM2" s="63">
        <f>_xlfn.NUMBERVALUE(trilogiq_bs!AM27)</f>
        <v>41.9</v>
      </c>
      <c r="AN2" s="63">
        <f>_xlfn.NUMBERVALUE(trilogiq_bs!AN27)</f>
        <v>42</v>
      </c>
      <c r="AO2" s="63">
        <f>_xlfn.NUMBERVALUE(trilogiq_bs!AO27)</f>
        <v>42</v>
      </c>
      <c r="AP2" s="63">
        <f>_xlfn.NUMBERVALUE(trilogiq_bs!AP27)</f>
        <v>42</v>
      </c>
    </row>
    <row r="3" spans="1:42" x14ac:dyDescent="0.2">
      <c r="A3" s="6" t="s">
        <v>146</v>
      </c>
      <c r="C3" s="7"/>
      <c r="D3" s="8">
        <f t="shared" ref="D3:V3" si="0">AVERAGE(C2:D2)</f>
        <v>66.900000000000006</v>
      </c>
      <c r="E3" s="8">
        <f t="shared" si="0"/>
        <v>65.099999999999994</v>
      </c>
      <c r="F3" s="8">
        <f t="shared" si="0"/>
        <v>63.3</v>
      </c>
      <c r="G3" s="8">
        <f t="shared" si="0"/>
        <v>63.25</v>
      </c>
      <c r="H3" s="8">
        <f t="shared" si="0"/>
        <v>63.2</v>
      </c>
      <c r="I3" s="8">
        <f t="shared" si="0"/>
        <v>61.650000000000006</v>
      </c>
      <c r="J3" s="8">
        <f t="shared" si="0"/>
        <v>60.1</v>
      </c>
      <c r="K3" s="8">
        <f t="shared" si="0"/>
        <v>59.5</v>
      </c>
      <c r="L3" s="8">
        <f t="shared" si="0"/>
        <v>58.9</v>
      </c>
      <c r="M3" s="8">
        <f t="shared" si="0"/>
        <v>55.45</v>
      </c>
      <c r="N3" s="8">
        <f t="shared" si="0"/>
        <v>52</v>
      </c>
      <c r="O3" s="8">
        <f t="shared" si="0"/>
        <v>26</v>
      </c>
      <c r="P3" s="8">
        <f t="shared" si="0"/>
        <v>0</v>
      </c>
      <c r="Q3" s="8">
        <f t="shared" si="0"/>
        <v>23.55</v>
      </c>
      <c r="R3" s="8">
        <f t="shared" si="0"/>
        <v>47.1</v>
      </c>
      <c r="S3" s="8">
        <f t="shared" si="0"/>
        <v>45.650000000000006</v>
      </c>
      <c r="T3" s="8">
        <f t="shared" si="0"/>
        <v>44.2</v>
      </c>
      <c r="U3" s="8">
        <f t="shared" si="0"/>
        <v>42.5</v>
      </c>
      <c r="V3" s="64">
        <f t="shared" si="0"/>
        <v>40.799999999999997</v>
      </c>
      <c r="W3" s="64">
        <f>AVERAGE(U2:W2)</f>
        <v>40.799999999999997</v>
      </c>
      <c r="X3" s="64">
        <f>AVERAGE(U2:X2)</f>
        <v>40.524999999999999</v>
      </c>
      <c r="Y3" s="64">
        <f>AVERAGE(U2:Y2)</f>
        <v>40.36</v>
      </c>
      <c r="Z3" s="64">
        <f>AVERAGE(U2:Z2)</f>
        <v>33.633333333333333</v>
      </c>
      <c r="AA3" s="64">
        <f>AVERAGE(U2:AA2)</f>
        <v>28.828571428571429</v>
      </c>
      <c r="AB3" s="64">
        <f>AVERAGE(U2:AB2)</f>
        <v>30.225000000000001</v>
      </c>
      <c r="AC3" s="64">
        <f>AVERAGE(U2:AC2)</f>
        <v>31.311111111111114</v>
      </c>
      <c r="AD3" s="64">
        <f>AVERAGE(U2:AD2)</f>
        <v>28.18</v>
      </c>
      <c r="AE3" s="64">
        <f>AVERAGE(U2:AE2)</f>
        <v>25.618181818181821</v>
      </c>
      <c r="AF3" s="64">
        <f>AVERAGE(U2:AF2)</f>
        <v>26.875</v>
      </c>
      <c r="AG3" s="64">
        <f>AVERAGE(U2:AG2)</f>
        <v>27.938461538461539</v>
      </c>
      <c r="AH3" s="64">
        <f>AVERAGE(U2:AH2)</f>
        <v>28.785714285714285</v>
      </c>
      <c r="AI3" s="64">
        <f>AVERAGE(U2:AI2)</f>
        <v>29.52</v>
      </c>
      <c r="AJ3" s="64">
        <f>AVERAGE(U2:AJ2)</f>
        <v>30.1875</v>
      </c>
      <c r="AK3" s="64">
        <f>AVERAGE(U2:AK2)</f>
        <v>30.776470588235298</v>
      </c>
      <c r="AL3" s="64">
        <f>AVERAGE(U2:AL2)</f>
        <v>31.394444444444446</v>
      </c>
      <c r="AM3" s="64">
        <f>AVERAGE(U2:AM2)</f>
        <v>31.94736842105263</v>
      </c>
      <c r="AN3" s="64">
        <f>AVERAGE(U2:AN2)</f>
        <v>32.450000000000003</v>
      </c>
      <c r="AO3" s="64">
        <f>AVERAGE(U2:AO2)</f>
        <v>32.904761904761905</v>
      </c>
      <c r="AP3" s="64">
        <f>AVERAGE(U2:AP2)</f>
        <v>33.31818181818182</v>
      </c>
    </row>
    <row r="4" spans="1:42" x14ac:dyDescent="0.2"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</row>
    <row r="5" spans="1:42" x14ac:dyDescent="0.2">
      <c r="A5" s="6" t="s">
        <v>147</v>
      </c>
      <c r="C5" s="7">
        <f>_xlfn.NUMBERVALUE(trilogiq_bs!D51)</f>
        <v>56.1</v>
      </c>
      <c r="D5" s="7">
        <f>_xlfn.NUMBERVALUE(trilogiq_bs!E51)</f>
        <v>56.1</v>
      </c>
      <c r="E5" s="7">
        <f>_xlfn.NUMBERVALUE(trilogiq_bs!F51)</f>
        <v>55.8</v>
      </c>
      <c r="F5" s="7">
        <f>_xlfn.NUMBERVALUE(trilogiq_bs!G51)</f>
        <v>55.8</v>
      </c>
      <c r="G5" s="7">
        <f>_xlfn.NUMBERVALUE(trilogiq_bs!H51)</f>
        <v>55.1</v>
      </c>
      <c r="H5" s="7">
        <f>_xlfn.NUMBERVALUE(trilogiq_bs!I51)</f>
        <v>55.1</v>
      </c>
      <c r="I5" s="7">
        <f>_xlfn.NUMBERVALUE(trilogiq_bs!J51)</f>
        <v>52.9</v>
      </c>
      <c r="J5" s="7">
        <f>_xlfn.NUMBERVALUE(trilogiq_bs!K51)</f>
        <v>52.9</v>
      </c>
      <c r="K5" s="7">
        <f>_xlfn.NUMBERVALUE(trilogiq_bs!L51)</f>
        <v>48.8</v>
      </c>
      <c r="L5" s="7">
        <f>_xlfn.NUMBERVALUE(trilogiq_bs!M51)</f>
        <v>48.8</v>
      </c>
      <c r="M5" s="7">
        <f>_xlfn.NUMBERVALUE(trilogiq_bs!N51)</f>
        <v>42.9</v>
      </c>
      <c r="N5" s="7">
        <f>_xlfn.NUMBERVALUE(trilogiq_bs!O51)</f>
        <v>42.9</v>
      </c>
      <c r="O5" s="7">
        <f>_xlfn.NUMBERVALUE(trilogiq_bs!P51)</f>
        <v>42.9</v>
      </c>
      <c r="P5" s="7">
        <f>_xlfn.NUMBERVALUE(trilogiq_bs!Q51)</f>
        <v>0</v>
      </c>
      <c r="Q5" s="7">
        <f>_xlfn.NUMBERVALUE(trilogiq_bs!R51)</f>
        <v>40.799999999999997</v>
      </c>
      <c r="R5" s="7">
        <f>_xlfn.NUMBERVALUE(trilogiq_bs!S51)</f>
        <v>40.799999999999997</v>
      </c>
      <c r="S5" s="7">
        <f>_xlfn.NUMBERVALUE(trilogiq_bs!T51)</f>
        <v>38.799999999999997</v>
      </c>
      <c r="T5" s="7">
        <f>_xlfn.NUMBERVALUE(trilogiq_bs!U51)</f>
        <v>38.799999999999997</v>
      </c>
      <c r="U5" s="7">
        <f>_xlfn.NUMBERVALUE(trilogiq_bs!V51)</f>
        <v>36.4</v>
      </c>
      <c r="V5" s="63">
        <f>_xlfn.NUMBERVALUE(trilogiq_bs!W51)</f>
        <v>36.4</v>
      </c>
      <c r="W5" s="63">
        <f>_xlfn.NUMBERVALUE(trilogiq_bs!W51)</f>
        <v>36.4</v>
      </c>
      <c r="X5" s="63">
        <f>_xlfn.NUMBERVALUE(trilogiq_bs!X51)</f>
        <v>35.1</v>
      </c>
      <c r="Y5" s="63">
        <f>_xlfn.NUMBERVALUE(trilogiq_bs!Y51)</f>
        <v>35.1</v>
      </c>
      <c r="Z5" s="63">
        <f>_xlfn.NUMBERVALUE(trilogiq_bs!Z51)</f>
        <v>35.1</v>
      </c>
      <c r="AA5" s="63">
        <f>_xlfn.NUMBERVALUE(trilogiq_bs!AA51)</f>
        <v>0</v>
      </c>
      <c r="AB5" s="63">
        <f>_xlfn.NUMBERVALUE(trilogiq_bs!AB51)</f>
        <v>35.799999999999997</v>
      </c>
      <c r="AC5" s="63">
        <f>_xlfn.NUMBERVALUE(trilogiq_bs!AC51)</f>
        <v>35.799999999999997</v>
      </c>
      <c r="AD5" s="63">
        <f>_xlfn.NUMBERVALUE(trilogiq_bs!AD51)</f>
        <v>35.799999999999997</v>
      </c>
      <c r="AE5" s="63">
        <f>_xlfn.NUMBERVALUE(trilogiq_bs!AE51)</f>
        <v>0</v>
      </c>
      <c r="AF5" s="63">
        <f>_xlfn.NUMBERVALUE(trilogiq_bs!AF51)</f>
        <v>36.6</v>
      </c>
      <c r="AG5" s="63">
        <f>_xlfn.NUMBERVALUE(trilogiq_bs!AG51)</f>
        <v>36.6</v>
      </c>
      <c r="AH5" s="63">
        <f>_xlfn.NUMBERVALUE(trilogiq_bs!AH51)</f>
        <v>35.799999999999997</v>
      </c>
      <c r="AI5" s="63">
        <f>_xlfn.NUMBERVALUE(trilogiq_bs!AI51)</f>
        <v>35.799999999999997</v>
      </c>
      <c r="AJ5" s="63">
        <f>_xlfn.NUMBERVALUE(trilogiq_bs!AJ51)</f>
        <v>36.200000000000003</v>
      </c>
      <c r="AK5" s="63">
        <f>_xlfn.NUMBERVALUE(trilogiq_bs!AK51)</f>
        <v>36.200000000000003</v>
      </c>
      <c r="AL5" s="63">
        <f>_xlfn.NUMBERVALUE(trilogiq_bs!AL51)</f>
        <v>37.4</v>
      </c>
      <c r="AM5" s="63">
        <f>_xlfn.NUMBERVALUE(trilogiq_bs!AM51)</f>
        <v>37.4</v>
      </c>
      <c r="AN5" s="63">
        <f>_xlfn.NUMBERVALUE(trilogiq_bs!AN51)</f>
        <v>38.1</v>
      </c>
      <c r="AO5" s="63">
        <f>_xlfn.NUMBERVALUE(trilogiq_bs!AO51)</f>
        <v>38.1</v>
      </c>
      <c r="AP5" s="63">
        <f>_xlfn.NUMBERVALUE(trilogiq_bs!AP51)</f>
        <v>37.9</v>
      </c>
    </row>
    <row r="6" spans="1:42" x14ac:dyDescent="0.2">
      <c r="A6" s="6" t="s">
        <v>146</v>
      </c>
      <c r="C6" s="7"/>
      <c r="D6" s="8">
        <f t="shared" ref="D6:V6" si="1">AVERAGE(C5:D5)</f>
        <v>56.1</v>
      </c>
      <c r="E6" s="8">
        <f t="shared" si="1"/>
        <v>55.95</v>
      </c>
      <c r="F6" s="8">
        <f t="shared" si="1"/>
        <v>55.8</v>
      </c>
      <c r="G6" s="8">
        <f t="shared" si="1"/>
        <v>55.45</v>
      </c>
      <c r="H6" s="8">
        <f t="shared" si="1"/>
        <v>55.1</v>
      </c>
      <c r="I6" s="8">
        <f t="shared" si="1"/>
        <v>54</v>
      </c>
      <c r="J6" s="8">
        <f t="shared" si="1"/>
        <v>52.9</v>
      </c>
      <c r="K6" s="8">
        <f t="shared" si="1"/>
        <v>50.849999999999994</v>
      </c>
      <c r="L6" s="8">
        <f t="shared" si="1"/>
        <v>48.8</v>
      </c>
      <c r="M6" s="8">
        <f t="shared" si="1"/>
        <v>45.849999999999994</v>
      </c>
      <c r="N6" s="8">
        <f t="shared" si="1"/>
        <v>42.9</v>
      </c>
      <c r="O6" s="8">
        <f t="shared" si="1"/>
        <v>42.9</v>
      </c>
      <c r="P6" s="8">
        <f t="shared" si="1"/>
        <v>21.45</v>
      </c>
      <c r="Q6" s="8">
        <f t="shared" si="1"/>
        <v>20.399999999999999</v>
      </c>
      <c r="R6" s="8">
        <f t="shared" si="1"/>
        <v>40.799999999999997</v>
      </c>
      <c r="S6" s="8">
        <f t="shared" si="1"/>
        <v>39.799999999999997</v>
      </c>
      <c r="T6" s="8">
        <f t="shared" si="1"/>
        <v>38.799999999999997</v>
      </c>
      <c r="U6" s="8">
        <f t="shared" si="1"/>
        <v>37.599999999999994</v>
      </c>
      <c r="V6" s="64">
        <f t="shared" si="1"/>
        <v>36.4</v>
      </c>
      <c r="W6" s="64">
        <f>AVERAGE(U5:W5)</f>
        <v>36.4</v>
      </c>
      <c r="X6" s="64">
        <f>AVERAGE(U5:X5)</f>
        <v>36.074999999999996</v>
      </c>
      <c r="Y6" s="64">
        <f>AVERAGE(U5:Y5)</f>
        <v>35.879999999999995</v>
      </c>
      <c r="Z6" s="64">
        <f>AVERAGE(U5:Z5)</f>
        <v>35.749999999999993</v>
      </c>
      <c r="AA6" s="64">
        <f>AVERAGE(U5:AA5)</f>
        <v>30.642857142857139</v>
      </c>
      <c r="AB6" s="64">
        <f>AVERAGE(U5:AB5)</f>
        <v>31.287499999999994</v>
      </c>
      <c r="AC6" s="64">
        <f>AVERAGE(U5:AC5)</f>
        <v>31.788888888888884</v>
      </c>
      <c r="AD6" s="64">
        <f>AVERAGE(U5:AD5)</f>
        <v>32.19</v>
      </c>
      <c r="AE6" s="64">
        <f>AVERAGE(U5:AE5)</f>
        <v>29.263636363636362</v>
      </c>
      <c r="AF6" s="64">
        <f>AVERAGE(U5:AF5)</f>
        <v>29.875</v>
      </c>
      <c r="AG6" s="64">
        <f>AVERAGE(U5:AG5)</f>
        <v>30.392307692307693</v>
      </c>
      <c r="AH6" s="64">
        <f>AVERAGE(U5:AH5)</f>
        <v>30.778571428571432</v>
      </c>
      <c r="AI6" s="64">
        <f>AVERAGE(U5:AI5)</f>
        <v>31.113333333333337</v>
      </c>
      <c r="AJ6" s="64">
        <f>AVERAGE(U5:AJ5)</f>
        <v>31.431250000000002</v>
      </c>
      <c r="AK6" s="64">
        <f>AVERAGE(U5:AK5)</f>
        <v>31.711764705882356</v>
      </c>
      <c r="AL6" s="64">
        <f>AVERAGE(U5:AL5)</f>
        <v>32.027777777777779</v>
      </c>
      <c r="AM6" s="64">
        <f>AVERAGE(U5:AM5)</f>
        <v>32.310526315789474</v>
      </c>
      <c r="AN6" s="64">
        <f>AVERAGE(U5:AN5)</f>
        <v>32.6</v>
      </c>
      <c r="AO6" s="64">
        <f>AVERAGE(U5:AO5)</f>
        <v>32.861904761904761</v>
      </c>
      <c r="AP6" s="64">
        <f>AVERAGE(U5:AP5)</f>
        <v>33.090909090909093</v>
      </c>
    </row>
    <row r="7" spans="1:42" x14ac:dyDescent="0.2"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</row>
    <row r="8" spans="1:42" x14ac:dyDescent="0.2">
      <c r="A8" s="6" t="s">
        <v>84</v>
      </c>
      <c r="C8" s="36">
        <f>_xlfn.NUMBERVALUE(trilogiq_IS!D12)</f>
        <v>16.2</v>
      </c>
      <c r="D8" s="36">
        <f>_xlfn.NUMBERVALUE(trilogiq_IS!E12)</f>
        <v>16.2</v>
      </c>
      <c r="E8" s="36">
        <f>_xlfn.NUMBERVALUE(trilogiq_IS!F12)</f>
        <v>11.8</v>
      </c>
      <c r="F8" s="36">
        <f>_xlfn.NUMBERVALUE(trilogiq_IS!G12)</f>
        <v>11.8</v>
      </c>
      <c r="G8" s="36">
        <f>_xlfn.NUMBERVALUE(trilogiq_IS!H12)</f>
        <v>9.1</v>
      </c>
      <c r="H8" s="36">
        <f>_xlfn.NUMBERVALUE(trilogiq_IS!I12)</f>
        <v>9.1</v>
      </c>
      <c r="I8" s="36">
        <f>_xlfn.NUMBERVALUE(trilogiq_IS!J12)</f>
        <v>8.4</v>
      </c>
      <c r="J8" s="36">
        <f>_xlfn.NUMBERVALUE(trilogiq_IS!K12)</f>
        <v>8.4</v>
      </c>
      <c r="K8" s="36">
        <f>_xlfn.NUMBERVALUE(trilogiq_IS!L12)</f>
        <v>8.1</v>
      </c>
      <c r="L8" s="36">
        <f>_xlfn.NUMBERVALUE(trilogiq_IS!M12)</f>
        <v>8.1</v>
      </c>
      <c r="M8" s="36">
        <f>_xlfn.NUMBERVALUE(trilogiq_IS!N12)</f>
        <v>8.6999999999999993</v>
      </c>
      <c r="N8" s="36">
        <f>_xlfn.NUMBERVALUE(trilogiq_IS!O12)</f>
        <v>8.6999999999999993</v>
      </c>
      <c r="O8" s="36">
        <f>_xlfn.NUMBERVALUE(trilogiq_IS!P12)</f>
        <v>8.1999999999999993</v>
      </c>
      <c r="P8" s="36">
        <f>_xlfn.NUMBERVALUE(trilogiq_IS!Q12)</f>
        <v>8.1999999999999993</v>
      </c>
      <c r="Q8" s="36">
        <f>_xlfn.NUMBERVALUE(trilogiq_IS!R12)</f>
        <v>7.8</v>
      </c>
      <c r="R8" s="36">
        <f>_xlfn.NUMBERVALUE(trilogiq_IS!S12)</f>
        <v>7.8</v>
      </c>
      <c r="S8" s="36">
        <f>_xlfn.NUMBERVALUE(trilogiq_IS!T12)</f>
        <v>6.3</v>
      </c>
      <c r="T8" s="36">
        <f>_xlfn.NUMBERVALUE(trilogiq_IS!U12)</f>
        <v>6.3</v>
      </c>
      <c r="U8" s="36">
        <f>_xlfn.NUMBERVALUE(trilogiq_IS!V12)</f>
        <v>5.4</v>
      </c>
      <c r="V8" s="65">
        <f>_xlfn.NUMBERVALUE(trilogiq_IS!W12)</f>
        <v>5.4</v>
      </c>
      <c r="W8" s="65">
        <f>_xlfn.NUMBERVALUE(trilogiq_IS!W12)</f>
        <v>5.4</v>
      </c>
      <c r="X8" s="65">
        <f>_xlfn.NUMBERVALUE(trilogiq_IS!X12)</f>
        <v>5</v>
      </c>
      <c r="Y8" s="65">
        <f>_xlfn.NUMBERVALUE(trilogiq_IS!Y12)</f>
        <v>5</v>
      </c>
      <c r="Z8" s="65">
        <f>_xlfn.NUMBERVALUE(trilogiq_IS!Z12)</f>
        <v>6.3</v>
      </c>
      <c r="AA8" s="65">
        <f>_xlfn.NUMBERVALUE(trilogiq_IS!AA12)</f>
        <v>6.3</v>
      </c>
      <c r="AB8" s="65">
        <f>_xlfn.NUMBERVALUE(trilogiq_IS!AB12)</f>
        <v>5.3</v>
      </c>
      <c r="AC8" s="65">
        <f>_xlfn.NUMBERVALUE(trilogiq_IS!AC12)</f>
        <v>5.3</v>
      </c>
      <c r="AD8" s="65">
        <f>_xlfn.NUMBERVALUE(trilogiq_IS!AD12)</f>
        <v>5.4</v>
      </c>
      <c r="AE8" s="65">
        <f>_xlfn.NUMBERVALUE(trilogiq_IS!AE12)</f>
        <v>5.4</v>
      </c>
      <c r="AF8" s="65">
        <f>_xlfn.NUMBERVALUE(trilogiq_IS!AF12)</f>
        <v>5.3</v>
      </c>
      <c r="AG8" s="65">
        <f>_xlfn.NUMBERVALUE(trilogiq_IS!AG12)</f>
        <v>5.3</v>
      </c>
      <c r="AH8" s="65">
        <f>_xlfn.NUMBERVALUE(trilogiq_IS!AH12)</f>
        <v>5.8</v>
      </c>
      <c r="AI8" s="65">
        <f>_xlfn.NUMBERVALUE(trilogiq_IS!AI12)</f>
        <v>5.8</v>
      </c>
      <c r="AJ8" s="65">
        <f>_xlfn.NUMBERVALUE(trilogiq_IS!AJ12)</f>
        <v>5.6</v>
      </c>
      <c r="AK8" s="65">
        <f>_xlfn.NUMBERVALUE(trilogiq_IS!AK12)</f>
        <v>5.6</v>
      </c>
      <c r="AL8" s="65">
        <f>_xlfn.NUMBERVALUE(trilogiq_IS!AL12)</f>
        <v>6.4</v>
      </c>
      <c r="AM8" s="65">
        <f>_xlfn.NUMBERVALUE(trilogiq_IS!AM12)</f>
        <v>6.4</v>
      </c>
      <c r="AN8" s="65">
        <f>_xlfn.NUMBERVALUE(trilogiq_IS!AN12)</f>
        <v>6.1</v>
      </c>
      <c r="AO8" s="65">
        <f>_xlfn.NUMBERVALUE(trilogiq_IS!AO12)</f>
        <v>6.1</v>
      </c>
      <c r="AP8" s="65">
        <f>_xlfn.NUMBERVALUE(trilogiq_IS!AP12)</f>
        <v>5.5</v>
      </c>
    </row>
    <row r="9" spans="1:42" x14ac:dyDescent="0.2">
      <c r="A9" s="6" t="s">
        <v>148</v>
      </c>
      <c r="C9" s="36">
        <f>_xlfn.NUMBERVALUE(trilogiq_IS!D24)</f>
        <v>1.1000000000000001</v>
      </c>
      <c r="D9" s="36">
        <f>_xlfn.NUMBERVALUE(trilogiq_IS!E43)</f>
        <v>1.9</v>
      </c>
      <c r="E9" s="36">
        <f>_xlfn.NUMBERVALUE(trilogiq_IS!F43)</f>
        <v>0.1</v>
      </c>
      <c r="F9" s="36">
        <f>_xlfn.NUMBERVALUE(trilogiq_IS!G43)</f>
        <v>0.1</v>
      </c>
      <c r="G9" s="36">
        <f>_xlfn.NUMBERVALUE(trilogiq_IS!H43)</f>
        <v>0.5</v>
      </c>
      <c r="H9" s="36">
        <f>_xlfn.NUMBERVALUE(trilogiq_IS!I43)</f>
        <v>0.5</v>
      </c>
      <c r="I9" s="36">
        <f>_xlfn.NUMBERVALUE(trilogiq_IS!J43)</f>
        <v>-0.5</v>
      </c>
      <c r="J9" s="36">
        <f>_xlfn.NUMBERVALUE(trilogiq_IS!K43)</f>
        <v>-0.5</v>
      </c>
      <c r="K9" s="36">
        <f>_xlfn.NUMBERVALUE(trilogiq_IS!L43)</f>
        <v>-0.5</v>
      </c>
      <c r="L9" s="36">
        <f>_xlfn.NUMBERVALUE(trilogiq_IS!M43)</f>
        <v>-0.5</v>
      </c>
      <c r="M9" s="36">
        <f>_xlfn.NUMBERVALUE(trilogiq_IS!N43)</f>
        <v>0.3</v>
      </c>
      <c r="N9" s="36">
        <f>_xlfn.NUMBERVALUE(trilogiq_IS!O43)</f>
        <v>0.3</v>
      </c>
      <c r="O9" s="36">
        <f>_xlfn.NUMBERVALUE(trilogiq_IS!P43)</f>
        <v>-0.2</v>
      </c>
      <c r="P9" s="36">
        <f>_xlfn.NUMBERVALUE(trilogiq_IS!Q43)</f>
        <v>-0.2</v>
      </c>
      <c r="Q9" s="36">
        <f>_xlfn.NUMBERVALUE(trilogiq_IS!R43)</f>
        <v>-0.3</v>
      </c>
      <c r="R9" s="36">
        <f>_xlfn.NUMBERVALUE(trilogiq_IS!S43)</f>
        <v>-0.3</v>
      </c>
      <c r="S9" s="36">
        <f>_xlfn.NUMBERVALUE(trilogiq_IS!T43)</f>
        <v>-0.1</v>
      </c>
      <c r="T9" s="36">
        <f>_xlfn.NUMBERVALUE(trilogiq_IS!U43)</f>
        <v>-0.1</v>
      </c>
      <c r="U9" s="36">
        <f>_xlfn.NUMBERVALUE(trilogiq_IS!V43)</f>
        <v>0</v>
      </c>
      <c r="V9" s="65">
        <f>_xlfn.NUMBERVALUE(trilogiq_IS!W43)</f>
        <v>0</v>
      </c>
      <c r="W9" s="65">
        <f>_xlfn.NUMBERVALUE(trilogiq_IS!W43)</f>
        <v>0</v>
      </c>
      <c r="X9" s="65">
        <f>_xlfn.NUMBERVALUE(trilogiq_IS!X43)</f>
        <v>0.3</v>
      </c>
      <c r="Y9" s="65">
        <f>_xlfn.NUMBERVALUE(trilogiq_IS!Y43)</f>
        <v>0.3</v>
      </c>
      <c r="Z9" s="65">
        <f>_xlfn.NUMBERVALUE(trilogiq_IS!Z43)</f>
        <v>0.7</v>
      </c>
      <c r="AA9" s="65">
        <f>_xlfn.NUMBERVALUE(trilogiq_IS!AA43)</f>
        <v>0.7</v>
      </c>
      <c r="AB9" s="65">
        <f>_xlfn.NUMBERVALUE(trilogiq_IS!AB43)</f>
        <v>0.5</v>
      </c>
      <c r="AC9" s="65">
        <f>_xlfn.NUMBERVALUE(trilogiq_IS!AC43)</f>
        <v>0.5</v>
      </c>
      <c r="AD9" s="65">
        <f>_xlfn.NUMBERVALUE(trilogiq_IS!AD43)</f>
        <v>0.3</v>
      </c>
      <c r="AE9" s="65">
        <f>_xlfn.NUMBERVALUE(trilogiq_IS!AE43)</f>
        <v>0.4</v>
      </c>
      <c r="AF9" s="65">
        <f>_xlfn.NUMBERVALUE(trilogiq_IS!AF43)</f>
        <v>0.2</v>
      </c>
      <c r="AG9" s="65">
        <f>_xlfn.NUMBERVALUE(trilogiq_IS!AG43)</f>
        <v>0.2</v>
      </c>
      <c r="AH9" s="65">
        <f>_xlfn.NUMBERVALUE(trilogiq_IS!AH43)</f>
        <v>0.2</v>
      </c>
      <c r="AI9" s="65">
        <f>_xlfn.NUMBERVALUE(trilogiq_IS!AI43)</f>
        <v>0.2</v>
      </c>
      <c r="AJ9" s="65">
        <f>_xlfn.NUMBERVALUE(trilogiq_IS!AJ43)</f>
        <v>0.1</v>
      </c>
      <c r="AK9" s="65">
        <f>_xlfn.NUMBERVALUE(trilogiq_IS!AK43)</f>
        <v>0.1</v>
      </c>
      <c r="AL9" s="65">
        <f>_xlfn.NUMBERVALUE(trilogiq_IS!AL43)</f>
        <v>0.7</v>
      </c>
      <c r="AM9" s="65">
        <f>_xlfn.NUMBERVALUE(trilogiq_IS!AM43)</f>
        <v>0.7</v>
      </c>
      <c r="AN9" s="65">
        <f>_xlfn.NUMBERVALUE(trilogiq_IS!AN43)</f>
        <v>0.5</v>
      </c>
      <c r="AO9" s="65">
        <f>_xlfn.NUMBERVALUE(trilogiq_IS!AO43)</f>
        <v>0.5</v>
      </c>
      <c r="AP9" s="65">
        <f>_xlfn.NUMBERVALUE(trilogiq_IS!AP43)</f>
        <v>0</v>
      </c>
    </row>
    <row r="10" spans="1:42" x14ac:dyDescent="0.2">
      <c r="A10" s="6" t="s">
        <v>149</v>
      </c>
      <c r="C10" s="36">
        <f>_xlfn.NUMBERVALUE(trilogiq_IS!D33)</f>
        <v>0.7</v>
      </c>
      <c r="D10" s="36">
        <f>_xlfn.NUMBERVALUE(trilogiq_IS!E32)</f>
        <v>-0.1</v>
      </c>
      <c r="E10" s="36">
        <f>_xlfn.NUMBERVALUE(trilogiq_IS!F32)</f>
        <v>0</v>
      </c>
      <c r="F10" s="36">
        <f>_xlfn.NUMBERVALUE(trilogiq_IS!G32)</f>
        <v>0</v>
      </c>
      <c r="G10" s="36">
        <f>_xlfn.NUMBERVALUE(trilogiq_IS!H32)</f>
        <v>0</v>
      </c>
      <c r="H10" s="36">
        <f>_xlfn.NUMBERVALUE(trilogiq_IS!I32)</f>
        <v>0</v>
      </c>
      <c r="I10" s="36">
        <f>_xlfn.NUMBERVALUE(trilogiq_IS!J32)</f>
        <v>0</v>
      </c>
      <c r="J10" s="36">
        <f>_xlfn.NUMBERVALUE(trilogiq_IS!K32)</f>
        <v>0</v>
      </c>
      <c r="K10" s="36">
        <f>_xlfn.NUMBERVALUE(trilogiq_IS!L32)</f>
        <v>0</v>
      </c>
      <c r="L10" s="36">
        <f>_xlfn.NUMBERVALUE(trilogiq_IS!M32)</f>
        <v>0</v>
      </c>
      <c r="M10" s="36">
        <f>_xlfn.NUMBERVALUE(trilogiq_IS!N32)</f>
        <v>0</v>
      </c>
      <c r="N10" s="36">
        <f>_xlfn.NUMBERVALUE(trilogiq_IS!O32)</f>
        <v>0</v>
      </c>
      <c r="O10" s="36">
        <f>_xlfn.NUMBERVALUE(trilogiq_IS!P32)</f>
        <v>0</v>
      </c>
      <c r="P10" s="36">
        <f>_xlfn.NUMBERVALUE(trilogiq_IS!Q32)</f>
        <v>0</v>
      </c>
      <c r="Q10" s="36">
        <f>_xlfn.NUMBERVALUE(trilogiq_IS!R32)</f>
        <v>0</v>
      </c>
      <c r="R10" s="36">
        <f>_xlfn.NUMBERVALUE(trilogiq_IS!S32)</f>
        <v>0</v>
      </c>
      <c r="S10" s="36">
        <f>_xlfn.NUMBERVALUE(trilogiq_IS!T32)</f>
        <v>0</v>
      </c>
      <c r="T10" s="36">
        <f>_xlfn.NUMBERVALUE(trilogiq_IS!U32)</f>
        <v>0</v>
      </c>
      <c r="U10" s="36">
        <f>_xlfn.NUMBERVALUE(trilogiq_IS!V32)</f>
        <v>0</v>
      </c>
      <c r="V10" s="65">
        <f>_xlfn.NUMBERVALUE(trilogiq_IS!W32)</f>
        <v>0</v>
      </c>
      <c r="W10" s="65">
        <f>_xlfn.NUMBERVALUE(trilogiq_IS!W32)</f>
        <v>0</v>
      </c>
      <c r="X10" s="65">
        <f>_xlfn.NUMBERVALUE(trilogiq_IS!X32)</f>
        <v>0</v>
      </c>
      <c r="Y10" s="65">
        <f>_xlfn.NUMBERVALUE(trilogiq_IS!Y32)</f>
        <v>0</v>
      </c>
      <c r="Z10" s="65">
        <f>_xlfn.NUMBERVALUE(trilogiq_IS!Z32)</f>
        <v>0</v>
      </c>
      <c r="AA10" s="65">
        <f>_xlfn.NUMBERVALUE(trilogiq_IS!AA32)</f>
        <v>0</v>
      </c>
      <c r="AB10" s="65">
        <f>_xlfn.NUMBERVALUE(trilogiq_IS!AB32)</f>
        <v>0</v>
      </c>
      <c r="AC10" s="65">
        <f>_xlfn.NUMBERVALUE(trilogiq_IS!AC32)</f>
        <v>0</v>
      </c>
      <c r="AD10" s="65">
        <f>_xlfn.NUMBERVALUE(trilogiq_IS!AD32)</f>
        <v>0</v>
      </c>
      <c r="AE10" s="65">
        <f>_xlfn.NUMBERVALUE(trilogiq_IS!AE32)</f>
        <v>0</v>
      </c>
      <c r="AF10" s="65">
        <f>_xlfn.NUMBERVALUE(trilogiq_IS!AF32)</f>
        <v>0</v>
      </c>
      <c r="AG10" s="65">
        <f>_xlfn.NUMBERVALUE(trilogiq_IS!AG32)</f>
        <v>0</v>
      </c>
      <c r="AH10" s="65">
        <f>_xlfn.NUMBERVALUE(trilogiq_IS!AH32)</f>
        <v>0</v>
      </c>
      <c r="AI10" s="65">
        <f>_xlfn.NUMBERVALUE(trilogiq_IS!AI32)</f>
        <v>0</v>
      </c>
      <c r="AJ10" s="65">
        <f>_xlfn.NUMBERVALUE(trilogiq_IS!AJ32)</f>
        <v>0</v>
      </c>
      <c r="AK10" s="65">
        <f>_xlfn.NUMBERVALUE(trilogiq_IS!AK32)</f>
        <v>0</v>
      </c>
      <c r="AL10" s="65">
        <f>_xlfn.NUMBERVALUE(trilogiq_IS!AL32)</f>
        <v>0</v>
      </c>
      <c r="AM10" s="65">
        <f>_xlfn.NUMBERVALUE(trilogiq_IS!AM32)</f>
        <v>0</v>
      </c>
      <c r="AN10" s="65">
        <f>_xlfn.NUMBERVALUE(trilogiq_IS!AN32)</f>
        <v>0</v>
      </c>
      <c r="AO10" s="65">
        <f>_xlfn.NUMBERVALUE(trilogiq_IS!AO32)</f>
        <v>0</v>
      </c>
      <c r="AP10" s="65">
        <f>_xlfn.NUMBERVALUE(trilogiq_IS!AP32)</f>
        <v>0</v>
      </c>
    </row>
    <row r="11" spans="1:42" x14ac:dyDescent="0.2"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</row>
    <row r="12" spans="1:42" x14ac:dyDescent="0.2">
      <c r="A12" s="50" t="s">
        <v>150</v>
      </c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</row>
    <row r="13" spans="1:42" x14ac:dyDescent="0.2">
      <c r="A13" s="6" t="s">
        <v>151</v>
      </c>
      <c r="D13" s="12">
        <f t="shared" ref="D13:AP13" si="2">D9/D3</f>
        <v>2.8400597907324361E-2</v>
      </c>
      <c r="E13" s="12">
        <f t="shared" si="2"/>
        <v>1.5360983102918589E-3</v>
      </c>
      <c r="F13" s="12">
        <f t="shared" si="2"/>
        <v>1.5797788309636653E-3</v>
      </c>
      <c r="G13" s="12">
        <f t="shared" si="2"/>
        <v>7.9051383399209481E-3</v>
      </c>
      <c r="H13" s="12">
        <f t="shared" si="2"/>
        <v>7.9113924050632899E-3</v>
      </c>
      <c r="I13" s="12">
        <f t="shared" si="2"/>
        <v>-8.1103000811030002E-3</v>
      </c>
      <c r="J13" s="12">
        <f t="shared" si="2"/>
        <v>-8.3194675540765387E-3</v>
      </c>
      <c r="K13" s="12">
        <f t="shared" si="2"/>
        <v>-8.4033613445378148E-3</v>
      </c>
      <c r="L13" s="12">
        <f t="shared" si="2"/>
        <v>-8.4889643463497456E-3</v>
      </c>
      <c r="M13" s="12">
        <f t="shared" si="2"/>
        <v>5.4102795311091068E-3</v>
      </c>
      <c r="N13" s="12">
        <f t="shared" si="2"/>
        <v>5.7692307692307687E-3</v>
      </c>
      <c r="O13" s="12">
        <f t="shared" si="2"/>
        <v>-7.6923076923076927E-3</v>
      </c>
      <c r="P13" s="12" t="e">
        <f t="shared" si="2"/>
        <v>#DIV/0!</v>
      </c>
      <c r="Q13" s="12">
        <f t="shared" si="2"/>
        <v>-1.2738853503184712E-2</v>
      </c>
      <c r="R13" s="12">
        <f t="shared" si="2"/>
        <v>-6.3694267515923561E-3</v>
      </c>
      <c r="S13" s="12">
        <f t="shared" si="2"/>
        <v>-2.1905805038335158E-3</v>
      </c>
      <c r="T13" s="12">
        <f t="shared" si="2"/>
        <v>-2.2624434389140269E-3</v>
      </c>
      <c r="U13" s="12">
        <f t="shared" si="2"/>
        <v>0</v>
      </c>
      <c r="V13" s="66">
        <f t="shared" si="2"/>
        <v>0</v>
      </c>
      <c r="W13" s="66">
        <f t="shared" si="2"/>
        <v>0</v>
      </c>
      <c r="X13" s="66">
        <f t="shared" si="2"/>
        <v>7.4028377544725476E-3</v>
      </c>
      <c r="Y13" s="66">
        <f t="shared" si="2"/>
        <v>7.4331020812685826E-3</v>
      </c>
      <c r="Z13" s="66">
        <f t="shared" si="2"/>
        <v>2.0812685827552031E-2</v>
      </c>
      <c r="AA13" s="66">
        <f t="shared" si="2"/>
        <v>2.4281466798810703E-2</v>
      </c>
      <c r="AB13" s="66">
        <f t="shared" si="2"/>
        <v>1.6542597187758478E-2</v>
      </c>
      <c r="AC13" s="66">
        <f t="shared" si="2"/>
        <v>1.5968772178850246E-2</v>
      </c>
      <c r="AD13" s="66">
        <f t="shared" si="2"/>
        <v>1.0645848119233499E-2</v>
      </c>
      <c r="AE13" s="66">
        <f t="shared" si="2"/>
        <v>1.5613910574875798E-2</v>
      </c>
      <c r="AF13" s="66">
        <f t="shared" si="2"/>
        <v>7.4418604651162795E-3</v>
      </c>
      <c r="AG13" s="66">
        <f t="shared" si="2"/>
        <v>7.1585903083700442E-3</v>
      </c>
      <c r="AH13" s="66">
        <f t="shared" si="2"/>
        <v>6.9478908188585617E-3</v>
      </c>
      <c r="AI13" s="66">
        <f t="shared" si="2"/>
        <v>6.7750677506775072E-3</v>
      </c>
      <c r="AJ13" s="66">
        <f t="shared" si="2"/>
        <v>3.3126293995859213E-3</v>
      </c>
      <c r="AK13" s="66">
        <f t="shared" si="2"/>
        <v>3.2492354740061161E-3</v>
      </c>
      <c r="AL13" s="66">
        <f t="shared" si="2"/>
        <v>2.2296938594938948E-2</v>
      </c>
      <c r="AM13" s="66">
        <f t="shared" si="2"/>
        <v>2.1911037891268532E-2</v>
      </c>
      <c r="AN13" s="66">
        <f t="shared" si="2"/>
        <v>1.5408320493066254E-2</v>
      </c>
      <c r="AO13" s="66">
        <f t="shared" si="2"/>
        <v>1.5195369030390737E-2</v>
      </c>
      <c r="AP13" s="66">
        <f t="shared" si="2"/>
        <v>0</v>
      </c>
    </row>
    <row r="14" spans="1:42" x14ac:dyDescent="0.2">
      <c r="A14" s="6" t="s">
        <v>152</v>
      </c>
      <c r="D14" s="12">
        <f t="shared" ref="D14:AP14" si="3">D10/D3</f>
        <v>-1.4947683109118087E-3</v>
      </c>
      <c r="E14" s="12">
        <f t="shared" si="3"/>
        <v>0</v>
      </c>
      <c r="F14" s="12">
        <f t="shared" si="3"/>
        <v>0</v>
      </c>
      <c r="G14" s="12">
        <f t="shared" si="3"/>
        <v>0</v>
      </c>
      <c r="H14" s="12">
        <f t="shared" si="3"/>
        <v>0</v>
      </c>
      <c r="I14" s="12">
        <f t="shared" si="3"/>
        <v>0</v>
      </c>
      <c r="J14" s="12">
        <f t="shared" si="3"/>
        <v>0</v>
      </c>
      <c r="K14" s="12">
        <f t="shared" si="3"/>
        <v>0</v>
      </c>
      <c r="L14" s="12">
        <f t="shared" si="3"/>
        <v>0</v>
      </c>
      <c r="M14" s="12">
        <f t="shared" si="3"/>
        <v>0</v>
      </c>
      <c r="N14" s="12">
        <f t="shared" si="3"/>
        <v>0</v>
      </c>
      <c r="O14" s="12">
        <f t="shared" si="3"/>
        <v>0</v>
      </c>
      <c r="P14" s="12" t="e">
        <f t="shared" si="3"/>
        <v>#DIV/0!</v>
      </c>
      <c r="Q14" s="12">
        <f t="shared" si="3"/>
        <v>0</v>
      </c>
      <c r="R14" s="12">
        <f t="shared" si="3"/>
        <v>0</v>
      </c>
      <c r="S14" s="12">
        <f t="shared" si="3"/>
        <v>0</v>
      </c>
      <c r="T14" s="12">
        <f t="shared" si="3"/>
        <v>0</v>
      </c>
      <c r="U14" s="12">
        <f t="shared" si="3"/>
        <v>0</v>
      </c>
      <c r="V14" s="66">
        <f t="shared" si="3"/>
        <v>0</v>
      </c>
      <c r="W14" s="66">
        <f t="shared" si="3"/>
        <v>0</v>
      </c>
      <c r="X14" s="66">
        <f t="shared" si="3"/>
        <v>0</v>
      </c>
      <c r="Y14" s="66">
        <f t="shared" si="3"/>
        <v>0</v>
      </c>
      <c r="Z14" s="66">
        <f t="shared" si="3"/>
        <v>0</v>
      </c>
      <c r="AA14" s="66">
        <f t="shared" si="3"/>
        <v>0</v>
      </c>
      <c r="AB14" s="66">
        <f t="shared" si="3"/>
        <v>0</v>
      </c>
      <c r="AC14" s="66">
        <f t="shared" si="3"/>
        <v>0</v>
      </c>
      <c r="AD14" s="66">
        <f t="shared" si="3"/>
        <v>0</v>
      </c>
      <c r="AE14" s="66">
        <f t="shared" si="3"/>
        <v>0</v>
      </c>
      <c r="AF14" s="66">
        <f t="shared" si="3"/>
        <v>0</v>
      </c>
      <c r="AG14" s="66">
        <f t="shared" si="3"/>
        <v>0</v>
      </c>
      <c r="AH14" s="66">
        <f t="shared" si="3"/>
        <v>0</v>
      </c>
      <c r="AI14" s="66">
        <f t="shared" si="3"/>
        <v>0</v>
      </c>
      <c r="AJ14" s="66">
        <f t="shared" si="3"/>
        <v>0</v>
      </c>
      <c r="AK14" s="66">
        <f t="shared" si="3"/>
        <v>0</v>
      </c>
      <c r="AL14" s="66">
        <f t="shared" si="3"/>
        <v>0</v>
      </c>
      <c r="AM14" s="66">
        <f t="shared" si="3"/>
        <v>0</v>
      </c>
      <c r="AN14" s="66">
        <f t="shared" si="3"/>
        <v>0</v>
      </c>
      <c r="AO14" s="66">
        <f t="shared" si="3"/>
        <v>0</v>
      </c>
      <c r="AP14" s="66">
        <f t="shared" si="3"/>
        <v>0</v>
      </c>
    </row>
    <row r="15" spans="1:42" x14ac:dyDescent="0.2">
      <c r="A15" s="5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</row>
    <row r="16" spans="1:42" x14ac:dyDescent="0.2">
      <c r="A16" s="6" t="s">
        <v>153</v>
      </c>
      <c r="D16" s="12">
        <f t="shared" ref="D16:AP16" si="4">D9/D6</f>
        <v>3.3868092691622102E-2</v>
      </c>
      <c r="E16" s="12">
        <f t="shared" si="4"/>
        <v>1.7873100983020554E-3</v>
      </c>
      <c r="F16" s="12">
        <f t="shared" si="4"/>
        <v>1.792114695340502E-3</v>
      </c>
      <c r="G16" s="12">
        <f t="shared" si="4"/>
        <v>9.017132551848512E-3</v>
      </c>
      <c r="H16" s="12">
        <f t="shared" si="4"/>
        <v>9.0744101633393835E-3</v>
      </c>
      <c r="I16" s="12">
        <f t="shared" si="4"/>
        <v>-9.2592592592592587E-3</v>
      </c>
      <c r="J16" s="12">
        <f t="shared" si="4"/>
        <v>-9.4517958412098299E-3</v>
      </c>
      <c r="K16" s="12">
        <f t="shared" si="4"/>
        <v>-9.8328416912487719E-3</v>
      </c>
      <c r="L16" s="12">
        <f t="shared" si="4"/>
        <v>-1.0245901639344263E-2</v>
      </c>
      <c r="M16" s="12">
        <f t="shared" si="4"/>
        <v>6.5430752453653224E-3</v>
      </c>
      <c r="N16" s="12">
        <f t="shared" si="4"/>
        <v>6.993006993006993E-3</v>
      </c>
      <c r="O16" s="12">
        <f t="shared" si="4"/>
        <v>-4.662004662004662E-3</v>
      </c>
      <c r="P16" s="12">
        <f t="shared" si="4"/>
        <v>-9.324009324009324E-3</v>
      </c>
      <c r="Q16" s="12">
        <f t="shared" si="4"/>
        <v>-1.4705882352941176E-2</v>
      </c>
      <c r="R16" s="12">
        <f t="shared" si="4"/>
        <v>-7.3529411764705881E-3</v>
      </c>
      <c r="S16" s="12">
        <f t="shared" si="4"/>
        <v>-2.5125628140703522E-3</v>
      </c>
      <c r="T16" s="12">
        <f t="shared" si="4"/>
        <v>-2.5773195876288664E-3</v>
      </c>
      <c r="U16" s="12">
        <f t="shared" si="4"/>
        <v>0</v>
      </c>
      <c r="V16" s="66">
        <f t="shared" si="4"/>
        <v>0</v>
      </c>
      <c r="W16" s="66">
        <f t="shared" si="4"/>
        <v>0</v>
      </c>
      <c r="X16" s="66">
        <f t="shared" si="4"/>
        <v>8.3160083160083165E-3</v>
      </c>
      <c r="Y16" s="66">
        <f t="shared" si="4"/>
        <v>8.3612040133779278E-3</v>
      </c>
      <c r="Z16" s="66">
        <f t="shared" si="4"/>
        <v>1.9580419580419582E-2</v>
      </c>
      <c r="AA16" s="66">
        <f t="shared" si="4"/>
        <v>2.2843822843822845E-2</v>
      </c>
      <c r="AB16" s="66">
        <f t="shared" si="4"/>
        <v>1.598082301238514E-2</v>
      </c>
      <c r="AC16" s="66">
        <f t="shared" si="4"/>
        <v>1.5728766165676339E-2</v>
      </c>
      <c r="AD16" s="66">
        <f t="shared" si="4"/>
        <v>9.3196644920782862E-3</v>
      </c>
      <c r="AE16" s="66">
        <f t="shared" si="4"/>
        <v>1.3668841255048154E-2</v>
      </c>
      <c r="AF16" s="66">
        <f t="shared" si="4"/>
        <v>6.6945606694560674E-3</v>
      </c>
      <c r="AG16" s="66">
        <f t="shared" si="4"/>
        <v>6.5806125031637559E-3</v>
      </c>
      <c r="AH16" s="66">
        <f t="shared" si="4"/>
        <v>6.4980273845439774E-3</v>
      </c>
      <c r="AI16" s="66">
        <f t="shared" si="4"/>
        <v>6.4281122776944496E-3</v>
      </c>
      <c r="AJ16" s="66">
        <f t="shared" si="4"/>
        <v>3.1815470272419963E-3</v>
      </c>
      <c r="AK16" s="66">
        <f t="shared" si="4"/>
        <v>3.1534038211834536E-3</v>
      </c>
      <c r="AL16" s="66">
        <f t="shared" si="4"/>
        <v>2.1856027753686034E-2</v>
      </c>
      <c r="AM16" s="66">
        <f t="shared" si="4"/>
        <v>2.1664766248574684E-2</v>
      </c>
      <c r="AN16" s="66">
        <f t="shared" si="4"/>
        <v>1.5337423312883436E-2</v>
      </c>
      <c r="AO16" s="66">
        <f t="shared" si="4"/>
        <v>1.5215186204897842E-2</v>
      </c>
      <c r="AP16" s="66">
        <f t="shared" si="4"/>
        <v>0</v>
      </c>
    </row>
    <row r="17" spans="1:42" x14ac:dyDescent="0.2">
      <c r="A17" s="6" t="s">
        <v>154</v>
      </c>
      <c r="D17" s="12">
        <f t="shared" ref="D17:AP17" si="5">D10/D6</f>
        <v>-1.7825311942959003E-3</v>
      </c>
      <c r="E17" s="12">
        <f t="shared" si="5"/>
        <v>0</v>
      </c>
      <c r="F17" s="12">
        <f t="shared" si="5"/>
        <v>0</v>
      </c>
      <c r="G17" s="12">
        <f t="shared" si="5"/>
        <v>0</v>
      </c>
      <c r="H17" s="12">
        <f t="shared" si="5"/>
        <v>0</v>
      </c>
      <c r="I17" s="12">
        <f t="shared" si="5"/>
        <v>0</v>
      </c>
      <c r="J17" s="12">
        <f t="shared" si="5"/>
        <v>0</v>
      </c>
      <c r="K17" s="12">
        <f t="shared" si="5"/>
        <v>0</v>
      </c>
      <c r="L17" s="12">
        <f t="shared" si="5"/>
        <v>0</v>
      </c>
      <c r="M17" s="12">
        <f t="shared" si="5"/>
        <v>0</v>
      </c>
      <c r="N17" s="12">
        <f t="shared" si="5"/>
        <v>0</v>
      </c>
      <c r="O17" s="12">
        <f t="shared" si="5"/>
        <v>0</v>
      </c>
      <c r="P17" s="12">
        <f t="shared" si="5"/>
        <v>0</v>
      </c>
      <c r="Q17" s="12">
        <f t="shared" si="5"/>
        <v>0</v>
      </c>
      <c r="R17" s="12">
        <f t="shared" si="5"/>
        <v>0</v>
      </c>
      <c r="S17" s="12">
        <f t="shared" si="5"/>
        <v>0</v>
      </c>
      <c r="T17" s="12">
        <f t="shared" si="5"/>
        <v>0</v>
      </c>
      <c r="U17" s="12">
        <f t="shared" si="5"/>
        <v>0</v>
      </c>
      <c r="V17" s="66">
        <f t="shared" si="5"/>
        <v>0</v>
      </c>
      <c r="W17" s="66">
        <f t="shared" si="5"/>
        <v>0</v>
      </c>
      <c r="X17" s="66">
        <f t="shared" si="5"/>
        <v>0</v>
      </c>
      <c r="Y17" s="66">
        <f t="shared" si="5"/>
        <v>0</v>
      </c>
      <c r="Z17" s="66">
        <f t="shared" si="5"/>
        <v>0</v>
      </c>
      <c r="AA17" s="66">
        <f t="shared" si="5"/>
        <v>0</v>
      </c>
      <c r="AB17" s="66">
        <f t="shared" si="5"/>
        <v>0</v>
      </c>
      <c r="AC17" s="66">
        <f t="shared" si="5"/>
        <v>0</v>
      </c>
      <c r="AD17" s="66">
        <f t="shared" si="5"/>
        <v>0</v>
      </c>
      <c r="AE17" s="66">
        <f t="shared" si="5"/>
        <v>0</v>
      </c>
      <c r="AF17" s="66">
        <f t="shared" si="5"/>
        <v>0</v>
      </c>
      <c r="AG17" s="66">
        <f t="shared" si="5"/>
        <v>0</v>
      </c>
      <c r="AH17" s="66">
        <f t="shared" si="5"/>
        <v>0</v>
      </c>
      <c r="AI17" s="66">
        <f t="shared" si="5"/>
        <v>0</v>
      </c>
      <c r="AJ17" s="66">
        <f t="shared" si="5"/>
        <v>0</v>
      </c>
      <c r="AK17" s="66">
        <f t="shared" si="5"/>
        <v>0</v>
      </c>
      <c r="AL17" s="66">
        <f t="shared" si="5"/>
        <v>0</v>
      </c>
      <c r="AM17" s="66">
        <f t="shared" si="5"/>
        <v>0</v>
      </c>
      <c r="AN17" s="66">
        <f t="shared" si="5"/>
        <v>0</v>
      </c>
      <c r="AO17" s="66">
        <f t="shared" si="5"/>
        <v>0</v>
      </c>
      <c r="AP17" s="66">
        <f t="shared" si="5"/>
        <v>0</v>
      </c>
    </row>
    <row r="18" spans="1:42" x14ac:dyDescent="0.2"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</row>
    <row r="19" spans="1:42" ht="15" customHeight="1" x14ac:dyDescent="0.25">
      <c r="A19" s="16" t="s">
        <v>155</v>
      </c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</row>
    <row r="20" spans="1:42" x14ac:dyDescent="0.2">
      <c r="A20" s="6" t="s">
        <v>151</v>
      </c>
      <c r="C20" s="12"/>
      <c r="D20" s="12">
        <f t="shared" ref="D20:AP20" si="6">D13*2</f>
        <v>5.6801195814648722E-2</v>
      </c>
      <c r="E20" s="12">
        <f t="shared" si="6"/>
        <v>3.0721966205837178E-3</v>
      </c>
      <c r="F20" s="12">
        <f t="shared" si="6"/>
        <v>3.1595576619273306E-3</v>
      </c>
      <c r="G20" s="12">
        <f t="shared" si="6"/>
        <v>1.5810276679841896E-2</v>
      </c>
      <c r="H20" s="12">
        <f t="shared" si="6"/>
        <v>1.582278481012658E-2</v>
      </c>
      <c r="I20" s="12">
        <f t="shared" si="6"/>
        <v>-1.6220600162206E-2</v>
      </c>
      <c r="J20" s="12">
        <f t="shared" si="6"/>
        <v>-1.6638935108153077E-2</v>
      </c>
      <c r="K20" s="12">
        <f t="shared" si="6"/>
        <v>-1.680672268907563E-2</v>
      </c>
      <c r="L20" s="12">
        <f t="shared" si="6"/>
        <v>-1.6977928692699491E-2</v>
      </c>
      <c r="M20" s="12">
        <f t="shared" si="6"/>
        <v>1.0820559062218214E-2</v>
      </c>
      <c r="N20" s="12">
        <f t="shared" si="6"/>
        <v>1.1538461538461537E-2</v>
      </c>
      <c r="O20" s="12">
        <f t="shared" si="6"/>
        <v>-1.5384615384615385E-2</v>
      </c>
      <c r="P20" s="12" t="e">
        <f t="shared" si="6"/>
        <v>#DIV/0!</v>
      </c>
      <c r="Q20" s="12">
        <f t="shared" si="6"/>
        <v>-2.5477707006369425E-2</v>
      </c>
      <c r="R20" s="12">
        <f t="shared" si="6"/>
        <v>-1.2738853503184712E-2</v>
      </c>
      <c r="S20" s="12">
        <f t="shared" si="6"/>
        <v>-4.3811610076670317E-3</v>
      </c>
      <c r="T20" s="12">
        <f t="shared" si="6"/>
        <v>-4.5248868778280538E-3</v>
      </c>
      <c r="U20" s="12">
        <f t="shared" si="6"/>
        <v>0</v>
      </c>
      <c r="V20" s="66">
        <f t="shared" si="6"/>
        <v>0</v>
      </c>
      <c r="W20" s="66">
        <f t="shared" si="6"/>
        <v>0</v>
      </c>
      <c r="X20" s="66">
        <f t="shared" si="6"/>
        <v>1.4805675508945095E-2</v>
      </c>
      <c r="Y20" s="66">
        <f t="shared" si="6"/>
        <v>1.4866204162537165E-2</v>
      </c>
      <c r="Z20" s="66">
        <f t="shared" si="6"/>
        <v>4.1625371655104063E-2</v>
      </c>
      <c r="AA20" s="66">
        <f t="shared" si="6"/>
        <v>4.8562933597621406E-2</v>
      </c>
      <c r="AB20" s="66">
        <f t="shared" si="6"/>
        <v>3.3085194375516956E-2</v>
      </c>
      <c r="AC20" s="66">
        <f t="shared" si="6"/>
        <v>3.1937544357700492E-2</v>
      </c>
      <c r="AD20" s="66">
        <f t="shared" si="6"/>
        <v>2.1291696238466998E-2</v>
      </c>
      <c r="AE20" s="66">
        <f t="shared" si="6"/>
        <v>3.1227821149751596E-2</v>
      </c>
      <c r="AF20" s="66">
        <f t="shared" si="6"/>
        <v>1.4883720930232559E-2</v>
      </c>
      <c r="AG20" s="66">
        <f t="shared" si="6"/>
        <v>1.4317180616740088E-2</v>
      </c>
      <c r="AH20" s="66">
        <f t="shared" si="6"/>
        <v>1.3895781637717123E-2</v>
      </c>
      <c r="AI20" s="66">
        <f t="shared" si="6"/>
        <v>1.3550135501355014E-2</v>
      </c>
      <c r="AJ20" s="66">
        <f t="shared" si="6"/>
        <v>6.6252587991718426E-3</v>
      </c>
      <c r="AK20" s="66">
        <f t="shared" si="6"/>
        <v>6.4984709480122322E-3</v>
      </c>
      <c r="AL20" s="66">
        <f t="shared" si="6"/>
        <v>4.4593877189877895E-2</v>
      </c>
      <c r="AM20" s="66">
        <f t="shared" si="6"/>
        <v>4.3822075782537065E-2</v>
      </c>
      <c r="AN20" s="66">
        <f t="shared" si="6"/>
        <v>3.0816640986132508E-2</v>
      </c>
      <c r="AO20" s="66">
        <f t="shared" si="6"/>
        <v>3.0390738060781474E-2</v>
      </c>
      <c r="AP20" s="66">
        <f t="shared" si="6"/>
        <v>0</v>
      </c>
    </row>
    <row r="21" spans="1:42" x14ac:dyDescent="0.2">
      <c r="A21" s="6" t="s">
        <v>152</v>
      </c>
      <c r="C21" s="12"/>
      <c r="D21" s="12">
        <f t="shared" ref="D21:V21" si="7">D14*2</f>
        <v>-2.9895366218236174E-3</v>
      </c>
      <c r="E21" s="12">
        <f t="shared" si="7"/>
        <v>0</v>
      </c>
      <c r="F21" s="12">
        <f t="shared" si="7"/>
        <v>0</v>
      </c>
      <c r="G21" s="12">
        <f t="shared" si="7"/>
        <v>0</v>
      </c>
      <c r="H21" s="12">
        <f t="shared" si="7"/>
        <v>0</v>
      </c>
      <c r="I21" s="12">
        <f t="shared" si="7"/>
        <v>0</v>
      </c>
      <c r="J21" s="12">
        <f t="shared" si="7"/>
        <v>0</v>
      </c>
      <c r="K21" s="12">
        <f t="shared" si="7"/>
        <v>0</v>
      </c>
      <c r="L21" s="12">
        <f t="shared" si="7"/>
        <v>0</v>
      </c>
      <c r="M21" s="12">
        <f t="shared" si="7"/>
        <v>0</v>
      </c>
      <c r="N21" s="12">
        <f t="shared" si="7"/>
        <v>0</v>
      </c>
      <c r="O21" s="12">
        <f t="shared" si="7"/>
        <v>0</v>
      </c>
      <c r="P21" s="12" t="e">
        <f t="shared" si="7"/>
        <v>#DIV/0!</v>
      </c>
      <c r="Q21" s="12">
        <f t="shared" si="7"/>
        <v>0</v>
      </c>
      <c r="R21" s="12">
        <f t="shared" si="7"/>
        <v>0</v>
      </c>
      <c r="S21" s="12">
        <f t="shared" si="7"/>
        <v>0</v>
      </c>
      <c r="T21" s="12">
        <f t="shared" si="7"/>
        <v>0</v>
      </c>
      <c r="U21" s="12">
        <f t="shared" si="7"/>
        <v>0</v>
      </c>
      <c r="V21" s="66">
        <f t="shared" si="7"/>
        <v>0</v>
      </c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</row>
    <row r="22" spans="1:42" x14ac:dyDescent="0.2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</row>
    <row r="23" spans="1:42" x14ac:dyDescent="0.2">
      <c r="A23" s="6" t="s">
        <v>153</v>
      </c>
      <c r="D23" s="12">
        <f t="shared" ref="D23:AP23" si="8">D16*2</f>
        <v>6.7736185383244205E-2</v>
      </c>
      <c r="E23" s="12">
        <f t="shared" si="8"/>
        <v>3.5746201966041107E-3</v>
      </c>
      <c r="F23" s="12">
        <f t="shared" si="8"/>
        <v>3.584229390681004E-3</v>
      </c>
      <c r="G23" s="12">
        <f t="shared" si="8"/>
        <v>1.8034265103697024E-2</v>
      </c>
      <c r="H23" s="12">
        <f t="shared" si="8"/>
        <v>1.8148820326678767E-2</v>
      </c>
      <c r="I23" s="12">
        <f t="shared" si="8"/>
        <v>-1.8518518518518517E-2</v>
      </c>
      <c r="J23" s="12">
        <f t="shared" si="8"/>
        <v>-1.890359168241966E-2</v>
      </c>
      <c r="K23" s="12">
        <f t="shared" si="8"/>
        <v>-1.9665683382497544E-2</v>
      </c>
      <c r="L23" s="12">
        <f t="shared" si="8"/>
        <v>-2.0491803278688527E-2</v>
      </c>
      <c r="M23" s="12">
        <f t="shared" si="8"/>
        <v>1.3086150490730645E-2</v>
      </c>
      <c r="N23" s="12">
        <f t="shared" si="8"/>
        <v>1.3986013986013986E-2</v>
      </c>
      <c r="O23" s="12">
        <f t="shared" si="8"/>
        <v>-9.324009324009324E-3</v>
      </c>
      <c r="P23" s="12">
        <f t="shared" si="8"/>
        <v>-1.8648018648018648E-2</v>
      </c>
      <c r="Q23" s="12">
        <f t="shared" si="8"/>
        <v>-2.9411764705882353E-2</v>
      </c>
      <c r="R23" s="12">
        <f t="shared" si="8"/>
        <v>-1.4705882352941176E-2</v>
      </c>
      <c r="S23" s="12">
        <f t="shared" si="8"/>
        <v>-5.0251256281407045E-3</v>
      </c>
      <c r="T23" s="12">
        <f t="shared" si="8"/>
        <v>-5.1546391752577327E-3</v>
      </c>
      <c r="U23" s="12">
        <f t="shared" si="8"/>
        <v>0</v>
      </c>
      <c r="V23" s="66">
        <f t="shared" si="8"/>
        <v>0</v>
      </c>
      <c r="W23" s="66">
        <f t="shared" si="8"/>
        <v>0</v>
      </c>
      <c r="X23" s="66">
        <f t="shared" si="8"/>
        <v>1.6632016632016633E-2</v>
      </c>
      <c r="Y23" s="66">
        <f t="shared" si="8"/>
        <v>1.6722408026755856E-2</v>
      </c>
      <c r="Z23" s="66">
        <f t="shared" si="8"/>
        <v>3.9160839160839164E-2</v>
      </c>
      <c r="AA23" s="66">
        <f t="shared" si="8"/>
        <v>4.5687645687645689E-2</v>
      </c>
      <c r="AB23" s="66">
        <f t="shared" si="8"/>
        <v>3.1961646024770279E-2</v>
      </c>
      <c r="AC23" s="66">
        <f t="shared" si="8"/>
        <v>3.1457532331352678E-2</v>
      </c>
      <c r="AD23" s="66">
        <f t="shared" si="8"/>
        <v>1.8639328984156572E-2</v>
      </c>
      <c r="AE23" s="66">
        <f t="shared" si="8"/>
        <v>2.7337682510096308E-2</v>
      </c>
      <c r="AF23" s="66">
        <f t="shared" si="8"/>
        <v>1.3389121338912135E-2</v>
      </c>
      <c r="AG23" s="66">
        <f t="shared" si="8"/>
        <v>1.3161225006327512E-2</v>
      </c>
      <c r="AH23" s="66">
        <f t="shared" si="8"/>
        <v>1.2996054769087955E-2</v>
      </c>
      <c r="AI23" s="66">
        <f t="shared" si="8"/>
        <v>1.2856224555388899E-2</v>
      </c>
      <c r="AJ23" s="66">
        <f t="shared" si="8"/>
        <v>6.3630940544839925E-3</v>
      </c>
      <c r="AK23" s="66">
        <f t="shared" si="8"/>
        <v>6.3068076423669073E-3</v>
      </c>
      <c r="AL23" s="66">
        <f t="shared" si="8"/>
        <v>4.3712055507372068E-2</v>
      </c>
      <c r="AM23" s="66">
        <f t="shared" si="8"/>
        <v>4.3329532497149367E-2</v>
      </c>
      <c r="AN23" s="66">
        <f t="shared" si="8"/>
        <v>3.0674846625766871E-2</v>
      </c>
      <c r="AO23" s="66">
        <f t="shared" si="8"/>
        <v>3.0430372409795684E-2</v>
      </c>
      <c r="AP23" s="66">
        <f t="shared" si="8"/>
        <v>0</v>
      </c>
    </row>
    <row r="24" spans="1:42" x14ac:dyDescent="0.2">
      <c r="A24" s="6" t="s">
        <v>154</v>
      </c>
      <c r="D24" s="12">
        <f t="shared" ref="D24:AP24" si="9">D17*2</f>
        <v>-3.5650623885918006E-3</v>
      </c>
      <c r="E24" s="12">
        <f t="shared" si="9"/>
        <v>0</v>
      </c>
      <c r="F24" s="12">
        <f t="shared" si="9"/>
        <v>0</v>
      </c>
      <c r="G24" s="12">
        <f t="shared" si="9"/>
        <v>0</v>
      </c>
      <c r="H24" s="12">
        <f t="shared" si="9"/>
        <v>0</v>
      </c>
      <c r="I24" s="12">
        <f t="shared" si="9"/>
        <v>0</v>
      </c>
      <c r="J24" s="12">
        <f t="shared" si="9"/>
        <v>0</v>
      </c>
      <c r="K24" s="12">
        <f t="shared" si="9"/>
        <v>0</v>
      </c>
      <c r="L24" s="12">
        <f t="shared" si="9"/>
        <v>0</v>
      </c>
      <c r="M24" s="12">
        <f t="shared" si="9"/>
        <v>0</v>
      </c>
      <c r="N24" s="12">
        <f t="shared" si="9"/>
        <v>0</v>
      </c>
      <c r="O24" s="12">
        <f t="shared" si="9"/>
        <v>0</v>
      </c>
      <c r="P24" s="12">
        <f t="shared" si="9"/>
        <v>0</v>
      </c>
      <c r="Q24" s="12">
        <f t="shared" si="9"/>
        <v>0</v>
      </c>
      <c r="R24" s="12">
        <f t="shared" si="9"/>
        <v>0</v>
      </c>
      <c r="S24" s="12">
        <f t="shared" si="9"/>
        <v>0</v>
      </c>
      <c r="T24" s="12">
        <f t="shared" si="9"/>
        <v>0</v>
      </c>
      <c r="U24" s="12">
        <f t="shared" si="9"/>
        <v>0</v>
      </c>
      <c r="V24" s="66">
        <f t="shared" si="9"/>
        <v>0</v>
      </c>
      <c r="W24" s="66">
        <f t="shared" si="9"/>
        <v>0</v>
      </c>
      <c r="X24" s="66">
        <f t="shared" si="9"/>
        <v>0</v>
      </c>
      <c r="Y24" s="66">
        <f t="shared" si="9"/>
        <v>0</v>
      </c>
      <c r="Z24" s="66">
        <f t="shared" si="9"/>
        <v>0</v>
      </c>
      <c r="AA24" s="66">
        <f t="shared" si="9"/>
        <v>0</v>
      </c>
      <c r="AB24" s="66">
        <f t="shared" si="9"/>
        <v>0</v>
      </c>
      <c r="AC24" s="66">
        <f t="shared" si="9"/>
        <v>0</v>
      </c>
      <c r="AD24" s="66">
        <f t="shared" si="9"/>
        <v>0</v>
      </c>
      <c r="AE24" s="66">
        <f t="shared" si="9"/>
        <v>0</v>
      </c>
      <c r="AF24" s="66">
        <f t="shared" si="9"/>
        <v>0</v>
      </c>
      <c r="AG24" s="66">
        <f t="shared" si="9"/>
        <v>0</v>
      </c>
      <c r="AH24" s="66">
        <f t="shared" si="9"/>
        <v>0</v>
      </c>
      <c r="AI24" s="66">
        <f t="shared" si="9"/>
        <v>0</v>
      </c>
      <c r="AJ24" s="66">
        <f t="shared" si="9"/>
        <v>0</v>
      </c>
      <c r="AK24" s="66">
        <f t="shared" si="9"/>
        <v>0</v>
      </c>
      <c r="AL24" s="66">
        <f t="shared" si="9"/>
        <v>0</v>
      </c>
      <c r="AM24" s="66">
        <f t="shared" si="9"/>
        <v>0</v>
      </c>
      <c r="AN24" s="66">
        <f t="shared" si="9"/>
        <v>0</v>
      </c>
      <c r="AO24" s="66">
        <f t="shared" si="9"/>
        <v>0</v>
      </c>
      <c r="AP24" s="66">
        <f t="shared" si="9"/>
        <v>0</v>
      </c>
    </row>
    <row r="25" spans="1:42" ht="15" customHeight="1" x14ac:dyDescent="0.25">
      <c r="A25" s="16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</row>
    <row r="26" spans="1:42" ht="15" customHeight="1" x14ac:dyDescent="0.25">
      <c r="A26" s="16" t="s">
        <v>156</v>
      </c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</row>
    <row r="27" spans="1:42" x14ac:dyDescent="0.2">
      <c r="A27" s="6" t="s">
        <v>151</v>
      </c>
      <c r="C27" s="12"/>
      <c r="D27" s="12"/>
      <c r="E27" s="12"/>
      <c r="F27" s="12"/>
      <c r="G27" s="52">
        <f t="shared" ref="G27:AP27" si="10">SUM(F9:G9)/AVERAGE(E2,G2)</f>
        <v>9.4861660079051374E-3</v>
      </c>
      <c r="H27" s="52">
        <f t="shared" si="10"/>
        <v>1.5810276679841896E-2</v>
      </c>
      <c r="I27" s="52">
        <f t="shared" si="10"/>
        <v>0</v>
      </c>
      <c r="J27" s="52">
        <f t="shared" si="10"/>
        <v>-1.6220600162206E-2</v>
      </c>
      <c r="K27" s="52">
        <f t="shared" si="10"/>
        <v>-1.680672268907563E-2</v>
      </c>
      <c r="L27" s="52">
        <f t="shared" si="10"/>
        <v>-1.680672268907563E-2</v>
      </c>
      <c r="M27" s="52">
        <f t="shared" si="10"/>
        <v>-3.6068530207394047E-3</v>
      </c>
      <c r="N27" s="52">
        <f t="shared" si="10"/>
        <v>1.0820559062218214E-2</v>
      </c>
      <c r="O27" s="52">
        <f t="shared" si="10"/>
        <v>3.8461538461538455E-3</v>
      </c>
      <c r="P27" s="52">
        <f t="shared" si="10"/>
        <v>-1.5384615384615385E-2</v>
      </c>
      <c r="Q27" s="52">
        <f t="shared" si="10"/>
        <v>-2.1231422505307854E-2</v>
      </c>
      <c r="R27" s="52">
        <f t="shared" si="10"/>
        <v>-2.5477707006369425E-2</v>
      </c>
      <c r="S27" s="52">
        <f t="shared" si="10"/>
        <v>-8.7623220153340634E-3</v>
      </c>
      <c r="T27" s="52">
        <f t="shared" si="10"/>
        <v>-4.3811610076670317E-3</v>
      </c>
      <c r="U27" s="52">
        <f t="shared" si="10"/>
        <v>-2.3529411764705885E-3</v>
      </c>
      <c r="V27" s="67">
        <f t="shared" si="10"/>
        <v>0</v>
      </c>
      <c r="W27" s="67">
        <f t="shared" si="10"/>
        <v>0</v>
      </c>
      <c r="X27" s="67">
        <f t="shared" si="10"/>
        <v>7.4534161490683228E-3</v>
      </c>
      <c r="Y27" s="67">
        <f t="shared" si="10"/>
        <v>1.4906832298136646E-2</v>
      </c>
      <c r="Z27" s="67">
        <f t="shared" si="10"/>
        <v>5.037783375314861E-2</v>
      </c>
      <c r="AA27" s="67">
        <f t="shared" si="10"/>
        <v>7.0528967254408048E-2</v>
      </c>
      <c r="AB27" s="67">
        <f t="shared" si="10"/>
        <v>0.06</v>
      </c>
      <c r="AC27" s="67">
        <f t="shared" si="10"/>
        <v>0.05</v>
      </c>
      <c r="AD27" s="67">
        <f t="shared" si="10"/>
        <v>0.04</v>
      </c>
      <c r="AE27" s="67">
        <f t="shared" si="10"/>
        <v>3.4999999999999996E-2</v>
      </c>
      <c r="AF27" s="67">
        <f t="shared" si="10"/>
        <v>2.9484029484029485E-2</v>
      </c>
      <c r="AG27" s="67">
        <f t="shared" si="10"/>
        <v>1.9656019656019656E-2</v>
      </c>
      <c r="AH27" s="67">
        <f t="shared" si="10"/>
        <v>9.9378881987577643E-3</v>
      </c>
      <c r="AI27" s="67">
        <f t="shared" si="10"/>
        <v>9.9378881987577643E-3</v>
      </c>
      <c r="AJ27" s="67">
        <f t="shared" si="10"/>
        <v>7.5000000000000015E-3</v>
      </c>
      <c r="AK27" s="67">
        <f t="shared" si="10"/>
        <v>5.0000000000000001E-3</v>
      </c>
      <c r="AL27" s="67">
        <f t="shared" si="10"/>
        <v>1.9488428745432398E-2</v>
      </c>
      <c r="AM27" s="67">
        <f t="shared" si="10"/>
        <v>3.4104750304506701E-2</v>
      </c>
      <c r="AN27" s="67">
        <f t="shared" si="10"/>
        <v>2.8605482717520857E-2</v>
      </c>
      <c r="AO27" s="67">
        <f t="shared" si="10"/>
        <v>2.3837902264600714E-2</v>
      </c>
      <c r="AP27" s="67">
        <f t="shared" si="10"/>
        <v>1.1904761904761904E-2</v>
      </c>
    </row>
    <row r="28" spans="1:42" x14ac:dyDescent="0.2">
      <c r="A28" s="6" t="s">
        <v>152</v>
      </c>
      <c r="C28" s="12"/>
      <c r="D28" s="12"/>
      <c r="E28" s="12"/>
      <c r="F28" s="12"/>
      <c r="G28" s="12">
        <f t="shared" ref="G28:AP28" si="11">SUM(F10:G10)/AVERAGE(E2,G2)</f>
        <v>0</v>
      </c>
      <c r="H28" s="12">
        <f t="shared" si="11"/>
        <v>0</v>
      </c>
      <c r="I28" s="12">
        <f t="shared" si="11"/>
        <v>0</v>
      </c>
      <c r="J28" s="12">
        <f t="shared" si="11"/>
        <v>0</v>
      </c>
      <c r="K28" s="12">
        <f t="shared" si="11"/>
        <v>0</v>
      </c>
      <c r="L28" s="12">
        <f t="shared" si="11"/>
        <v>0</v>
      </c>
      <c r="M28" s="12">
        <f t="shared" si="11"/>
        <v>0</v>
      </c>
      <c r="N28" s="12">
        <f t="shared" si="11"/>
        <v>0</v>
      </c>
      <c r="O28" s="12">
        <f t="shared" si="11"/>
        <v>0</v>
      </c>
      <c r="P28" s="12">
        <f t="shared" si="11"/>
        <v>0</v>
      </c>
      <c r="Q28" s="12">
        <f t="shared" si="11"/>
        <v>0</v>
      </c>
      <c r="R28" s="12">
        <f t="shared" si="11"/>
        <v>0</v>
      </c>
      <c r="S28" s="12">
        <f t="shared" si="11"/>
        <v>0</v>
      </c>
      <c r="T28" s="12">
        <f t="shared" si="11"/>
        <v>0</v>
      </c>
      <c r="U28" s="12">
        <f t="shared" si="11"/>
        <v>0</v>
      </c>
      <c r="V28" s="66">
        <f t="shared" si="11"/>
        <v>0</v>
      </c>
      <c r="W28" s="66">
        <f t="shared" si="11"/>
        <v>0</v>
      </c>
      <c r="X28" s="66">
        <f t="shared" si="11"/>
        <v>0</v>
      </c>
      <c r="Y28" s="66">
        <f t="shared" si="11"/>
        <v>0</v>
      </c>
      <c r="Z28" s="66">
        <f t="shared" si="11"/>
        <v>0</v>
      </c>
      <c r="AA28" s="66">
        <f t="shared" si="11"/>
        <v>0</v>
      </c>
      <c r="AB28" s="66">
        <f t="shared" si="11"/>
        <v>0</v>
      </c>
      <c r="AC28" s="66">
        <f t="shared" si="11"/>
        <v>0</v>
      </c>
      <c r="AD28" s="66">
        <f t="shared" si="11"/>
        <v>0</v>
      </c>
      <c r="AE28" s="66">
        <f t="shared" si="11"/>
        <v>0</v>
      </c>
      <c r="AF28" s="66">
        <f t="shared" si="11"/>
        <v>0</v>
      </c>
      <c r="AG28" s="66">
        <f t="shared" si="11"/>
        <v>0</v>
      </c>
      <c r="AH28" s="66">
        <f t="shared" si="11"/>
        <v>0</v>
      </c>
      <c r="AI28" s="66">
        <f t="shared" si="11"/>
        <v>0</v>
      </c>
      <c r="AJ28" s="66">
        <f t="shared" si="11"/>
        <v>0</v>
      </c>
      <c r="AK28" s="66">
        <f t="shared" si="11"/>
        <v>0</v>
      </c>
      <c r="AL28" s="66">
        <f t="shared" si="11"/>
        <v>0</v>
      </c>
      <c r="AM28" s="66">
        <f t="shared" si="11"/>
        <v>0</v>
      </c>
      <c r="AN28" s="66">
        <f t="shared" si="11"/>
        <v>0</v>
      </c>
      <c r="AO28" s="66">
        <f t="shared" si="11"/>
        <v>0</v>
      </c>
      <c r="AP28" s="66">
        <f t="shared" si="11"/>
        <v>0</v>
      </c>
    </row>
    <row r="29" spans="1:42" x14ac:dyDescent="0.2"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</row>
    <row r="30" spans="1:42" x14ac:dyDescent="0.2">
      <c r="A30" s="6" t="s">
        <v>153</v>
      </c>
      <c r="F30" s="51"/>
      <c r="G30" s="12">
        <f t="shared" ref="G30:AP30" si="12">SUM(F9:G9)/AVERAGE(E5,G5)</f>
        <v>1.0820559062218214E-2</v>
      </c>
      <c r="H30" s="12">
        <f t="shared" si="12"/>
        <v>1.8034265103697024E-2</v>
      </c>
      <c r="I30" s="12">
        <f t="shared" si="12"/>
        <v>0</v>
      </c>
      <c r="J30" s="12">
        <f t="shared" si="12"/>
        <v>-1.8518518518518517E-2</v>
      </c>
      <c r="K30" s="12">
        <f t="shared" si="12"/>
        <v>-1.9665683382497544E-2</v>
      </c>
      <c r="L30" s="12">
        <f t="shared" si="12"/>
        <v>-1.9665683382497544E-2</v>
      </c>
      <c r="M30" s="12">
        <f t="shared" si="12"/>
        <v>-4.3620501635768822E-3</v>
      </c>
      <c r="N30" s="12">
        <f t="shared" si="12"/>
        <v>1.3086150490730645E-2</v>
      </c>
      <c r="O30" s="12">
        <f t="shared" si="12"/>
        <v>2.3310023310023306E-3</v>
      </c>
      <c r="P30" s="12">
        <f t="shared" si="12"/>
        <v>-1.8648018648018648E-2</v>
      </c>
      <c r="Q30" s="12">
        <f t="shared" si="12"/>
        <v>-1.1947431302270014E-2</v>
      </c>
      <c r="R30" s="12">
        <f t="shared" si="12"/>
        <v>-2.9411764705882353E-2</v>
      </c>
      <c r="S30" s="12">
        <f t="shared" si="12"/>
        <v>-1.0050251256281409E-2</v>
      </c>
      <c r="T30" s="12">
        <f t="shared" si="12"/>
        <v>-5.0251256281407045E-3</v>
      </c>
      <c r="U30" s="12">
        <f t="shared" si="12"/>
        <v>-2.6595744680851068E-3</v>
      </c>
      <c r="V30" s="66">
        <f t="shared" si="12"/>
        <v>0</v>
      </c>
      <c r="W30" s="66">
        <f t="shared" si="12"/>
        <v>0</v>
      </c>
      <c r="X30" s="66">
        <f t="shared" si="12"/>
        <v>8.3916083916083916E-3</v>
      </c>
      <c r="Y30" s="66">
        <f t="shared" si="12"/>
        <v>1.6783216783216783E-2</v>
      </c>
      <c r="Z30" s="66">
        <f t="shared" si="12"/>
        <v>2.8490028490028491E-2</v>
      </c>
      <c r="AA30" s="66">
        <f t="shared" si="12"/>
        <v>7.9772079772079757E-2</v>
      </c>
      <c r="AB30" s="66">
        <f t="shared" si="12"/>
        <v>3.3850493653032436E-2</v>
      </c>
      <c r="AC30" s="66">
        <f t="shared" si="12"/>
        <v>5.5865921787709501E-2</v>
      </c>
      <c r="AD30" s="66">
        <f t="shared" si="12"/>
        <v>2.2346368715083803E-2</v>
      </c>
      <c r="AE30" s="66">
        <f t="shared" si="12"/>
        <v>3.9106145251396648E-2</v>
      </c>
      <c r="AF30" s="66">
        <f t="shared" si="12"/>
        <v>1.6574585635359119E-2</v>
      </c>
      <c r="AG30" s="66">
        <f t="shared" si="12"/>
        <v>2.185792349726776E-2</v>
      </c>
      <c r="AH30" s="66">
        <f t="shared" si="12"/>
        <v>1.1049723756906077E-2</v>
      </c>
      <c r="AI30" s="66">
        <f t="shared" si="12"/>
        <v>1.1049723756906077E-2</v>
      </c>
      <c r="AJ30" s="66">
        <f t="shared" si="12"/>
        <v>8.333333333333335E-3</v>
      </c>
      <c r="AK30" s="66">
        <f t="shared" si="12"/>
        <v>5.5555555555555558E-3</v>
      </c>
      <c r="AL30" s="66">
        <f t="shared" si="12"/>
        <v>2.1739130434782608E-2</v>
      </c>
      <c r="AM30" s="66">
        <f t="shared" si="12"/>
        <v>3.8043478260869568E-2</v>
      </c>
      <c r="AN30" s="66">
        <f t="shared" si="12"/>
        <v>3.1788079470198675E-2</v>
      </c>
      <c r="AO30" s="66">
        <f t="shared" si="12"/>
        <v>2.6490066225165563E-2</v>
      </c>
      <c r="AP30" s="66">
        <f t="shared" si="12"/>
        <v>1.3157894736842105E-2</v>
      </c>
    </row>
    <row r="31" spans="1:42" x14ac:dyDescent="0.2">
      <c r="A31" s="6" t="s">
        <v>154</v>
      </c>
      <c r="G31" s="12">
        <f t="shared" ref="G31:AP31" si="13">SUM(F10:G10)/AVERAGE(E5,G5)</f>
        <v>0</v>
      </c>
      <c r="H31" s="12">
        <f t="shared" si="13"/>
        <v>0</v>
      </c>
      <c r="I31" s="12">
        <f t="shared" si="13"/>
        <v>0</v>
      </c>
      <c r="J31" s="12">
        <f t="shared" si="13"/>
        <v>0</v>
      </c>
      <c r="K31" s="12">
        <f t="shared" si="13"/>
        <v>0</v>
      </c>
      <c r="L31" s="12">
        <f t="shared" si="13"/>
        <v>0</v>
      </c>
      <c r="M31" s="12">
        <f t="shared" si="13"/>
        <v>0</v>
      </c>
      <c r="N31" s="12">
        <f t="shared" si="13"/>
        <v>0</v>
      </c>
      <c r="O31" s="12">
        <f t="shared" si="13"/>
        <v>0</v>
      </c>
      <c r="P31" s="12">
        <f t="shared" si="13"/>
        <v>0</v>
      </c>
      <c r="Q31" s="12">
        <f t="shared" si="13"/>
        <v>0</v>
      </c>
      <c r="R31" s="12">
        <f t="shared" si="13"/>
        <v>0</v>
      </c>
      <c r="S31" s="12">
        <f t="shared" si="13"/>
        <v>0</v>
      </c>
      <c r="T31" s="12">
        <f t="shared" si="13"/>
        <v>0</v>
      </c>
      <c r="U31" s="12">
        <f t="shared" si="13"/>
        <v>0</v>
      </c>
      <c r="V31" s="66">
        <f t="shared" si="13"/>
        <v>0</v>
      </c>
      <c r="W31" s="66">
        <f t="shared" si="13"/>
        <v>0</v>
      </c>
      <c r="X31" s="66">
        <f t="shared" si="13"/>
        <v>0</v>
      </c>
      <c r="Y31" s="66">
        <f t="shared" si="13"/>
        <v>0</v>
      </c>
      <c r="Z31" s="66">
        <f t="shared" si="13"/>
        <v>0</v>
      </c>
      <c r="AA31" s="66">
        <f t="shared" si="13"/>
        <v>0</v>
      </c>
      <c r="AB31" s="66">
        <f t="shared" si="13"/>
        <v>0</v>
      </c>
      <c r="AC31" s="66">
        <f t="shared" si="13"/>
        <v>0</v>
      </c>
      <c r="AD31" s="66">
        <f t="shared" si="13"/>
        <v>0</v>
      </c>
      <c r="AE31" s="66">
        <f t="shared" si="13"/>
        <v>0</v>
      </c>
      <c r="AF31" s="66">
        <f t="shared" si="13"/>
        <v>0</v>
      </c>
      <c r="AG31" s="66">
        <f t="shared" si="13"/>
        <v>0</v>
      </c>
      <c r="AH31" s="66">
        <f t="shared" si="13"/>
        <v>0</v>
      </c>
      <c r="AI31" s="66">
        <f t="shared" si="13"/>
        <v>0</v>
      </c>
      <c r="AJ31" s="66">
        <f t="shared" si="13"/>
        <v>0</v>
      </c>
      <c r="AK31" s="66">
        <f t="shared" si="13"/>
        <v>0</v>
      </c>
      <c r="AL31" s="66">
        <f t="shared" si="13"/>
        <v>0</v>
      </c>
      <c r="AM31" s="66">
        <f t="shared" si="13"/>
        <v>0</v>
      </c>
      <c r="AN31" s="66">
        <f t="shared" si="13"/>
        <v>0</v>
      </c>
      <c r="AO31" s="66">
        <f t="shared" si="13"/>
        <v>0</v>
      </c>
      <c r="AP31" s="66">
        <f t="shared" si="13"/>
        <v>0</v>
      </c>
    </row>
    <row r="32" spans="1:42" x14ac:dyDescent="0.2"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</row>
    <row r="33" spans="1:42" x14ac:dyDescent="0.2">
      <c r="A33" s="6" t="s">
        <v>157</v>
      </c>
      <c r="C33" s="9"/>
      <c r="D33" s="9">
        <f t="shared" ref="D33:AP33" si="14">D8*4/D3</f>
        <v>0.96860986547085193</v>
      </c>
      <c r="E33" s="9">
        <f t="shared" si="14"/>
        <v>0.72503840245775741</v>
      </c>
      <c r="F33" s="9">
        <f t="shared" si="14"/>
        <v>0.74565560821485</v>
      </c>
      <c r="G33" s="9">
        <f t="shared" si="14"/>
        <v>0.57549407114624507</v>
      </c>
      <c r="H33" s="9">
        <f t="shared" si="14"/>
        <v>0.57594936708860756</v>
      </c>
      <c r="I33" s="9">
        <f t="shared" si="14"/>
        <v>0.54501216545012166</v>
      </c>
      <c r="J33" s="9">
        <f t="shared" si="14"/>
        <v>0.55906821963394349</v>
      </c>
      <c r="K33" s="9">
        <f t="shared" si="14"/>
        <v>0.54453781512605037</v>
      </c>
      <c r="L33" s="9">
        <f t="shared" si="14"/>
        <v>0.55008488964346347</v>
      </c>
      <c r="M33" s="9">
        <f t="shared" si="14"/>
        <v>0.62759242560865636</v>
      </c>
      <c r="N33" s="9">
        <f t="shared" si="14"/>
        <v>0.66923076923076918</v>
      </c>
      <c r="O33" s="9">
        <f t="shared" si="14"/>
        <v>1.2615384615384615</v>
      </c>
      <c r="P33" s="9" t="e">
        <f t="shared" si="14"/>
        <v>#DIV/0!</v>
      </c>
      <c r="Q33" s="9">
        <f t="shared" si="14"/>
        <v>1.3248407643312101</v>
      </c>
      <c r="R33" s="9">
        <f t="shared" si="14"/>
        <v>0.66242038216560506</v>
      </c>
      <c r="S33" s="9">
        <f t="shared" si="14"/>
        <v>0.55202628696604594</v>
      </c>
      <c r="T33" s="9">
        <f t="shared" si="14"/>
        <v>0.57013574660633481</v>
      </c>
      <c r="U33" s="9">
        <f t="shared" si="14"/>
        <v>0.50823529411764712</v>
      </c>
      <c r="V33" s="68">
        <f t="shared" si="14"/>
        <v>0.52941176470588247</v>
      </c>
      <c r="W33" s="68">
        <f t="shared" si="14"/>
        <v>0.52941176470588247</v>
      </c>
      <c r="X33" s="68">
        <f t="shared" si="14"/>
        <v>0.49352251696483651</v>
      </c>
      <c r="Y33" s="68">
        <f t="shared" si="14"/>
        <v>0.49554013875123887</v>
      </c>
      <c r="Z33" s="68">
        <f t="shared" si="14"/>
        <v>0.7492566897918731</v>
      </c>
      <c r="AA33" s="68">
        <f t="shared" si="14"/>
        <v>0.87413280475718524</v>
      </c>
      <c r="AB33" s="68">
        <f t="shared" si="14"/>
        <v>0.70140612076095943</v>
      </c>
      <c r="AC33" s="68">
        <f t="shared" si="14"/>
        <v>0.67707594038325047</v>
      </c>
      <c r="AD33" s="68">
        <f t="shared" si="14"/>
        <v>0.76650106458481193</v>
      </c>
      <c r="AE33" s="68">
        <f t="shared" si="14"/>
        <v>0.84315117104329307</v>
      </c>
      <c r="AF33" s="68">
        <f t="shared" si="14"/>
        <v>0.78883720930232559</v>
      </c>
      <c r="AG33" s="68">
        <f t="shared" si="14"/>
        <v>0.75881057268722463</v>
      </c>
      <c r="AH33" s="68">
        <f t="shared" si="14"/>
        <v>0.80595533498759309</v>
      </c>
      <c r="AI33" s="68">
        <f t="shared" si="14"/>
        <v>0.78590785907859073</v>
      </c>
      <c r="AJ33" s="68">
        <f t="shared" si="14"/>
        <v>0.74202898550724627</v>
      </c>
      <c r="AK33" s="68">
        <f t="shared" si="14"/>
        <v>0.72782874617736992</v>
      </c>
      <c r="AL33" s="68">
        <f t="shared" si="14"/>
        <v>0.81543089718633877</v>
      </c>
      <c r="AM33" s="68">
        <f t="shared" si="14"/>
        <v>0.8013179571663922</v>
      </c>
      <c r="AN33" s="68">
        <f t="shared" si="14"/>
        <v>0.75192604006163322</v>
      </c>
      <c r="AO33" s="68">
        <f t="shared" si="14"/>
        <v>0.74153400868306796</v>
      </c>
      <c r="AP33" s="68">
        <f t="shared" si="14"/>
        <v>0.660300136425648</v>
      </c>
    </row>
  </sheetData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H11" sqref="A2:H11"/>
    </sheetView>
  </sheetViews>
  <sheetFormatPr defaultColWidth="20.7109375" defaultRowHeight="15" x14ac:dyDescent="0.25"/>
  <cols>
    <col min="1" max="1" width="30.7109375" customWidth="1"/>
    <col min="2" max="2" width="50.7109375" customWidth="1"/>
    <col min="3" max="6" width="12.7109375" customWidth="1"/>
  </cols>
  <sheetData>
    <row r="1" spans="1:7" x14ac:dyDescent="0.25">
      <c r="A1" s="32" t="s">
        <v>158</v>
      </c>
      <c r="B1" s="32" t="s">
        <v>159</v>
      </c>
      <c r="C1" s="32" t="s">
        <v>160</v>
      </c>
      <c r="D1" s="32" t="s">
        <v>161</v>
      </c>
      <c r="E1" s="32" t="s">
        <v>162</v>
      </c>
      <c r="F1" s="32" t="s">
        <v>163</v>
      </c>
    </row>
    <row r="2" spans="1:7" x14ac:dyDescent="0.25">
      <c r="A2" s="43"/>
      <c r="B2" s="43"/>
      <c r="C2" s="44"/>
      <c r="D2" s="44"/>
      <c r="E2" s="45"/>
      <c r="F2" s="46"/>
      <c r="G2" s="5"/>
    </row>
    <row r="3" spans="1:7" x14ac:dyDescent="0.25">
      <c r="A3" s="46"/>
      <c r="B3" s="46"/>
      <c r="C3" s="47"/>
      <c r="D3" s="47"/>
      <c r="E3" s="48"/>
      <c r="F3" s="48"/>
      <c r="G3" s="5"/>
    </row>
    <row r="4" spans="1:7" x14ac:dyDescent="0.25">
      <c r="A4" s="46"/>
      <c r="B4" s="46"/>
      <c r="C4" s="47"/>
      <c r="D4" s="47"/>
      <c r="E4" s="48"/>
      <c r="F4" s="48"/>
      <c r="G4" s="5"/>
    </row>
    <row r="5" spans="1:7" x14ac:dyDescent="0.25">
      <c r="A5" s="46"/>
      <c r="B5" s="46"/>
      <c r="C5" s="47"/>
      <c r="D5" s="47"/>
      <c r="E5" s="48"/>
      <c r="F5" s="48"/>
      <c r="G5" s="5"/>
    </row>
    <row r="6" spans="1:7" x14ac:dyDescent="0.25">
      <c r="A6" s="2"/>
      <c r="B6" s="2"/>
      <c r="C6" s="3"/>
      <c r="D6" s="3"/>
      <c r="E6" s="40"/>
      <c r="F6" s="5"/>
      <c r="G6" s="5"/>
    </row>
    <row r="7" spans="1:7" x14ac:dyDescent="0.25">
      <c r="E7" s="31"/>
    </row>
    <row r="8" spans="1:7" x14ac:dyDescent="0.25">
      <c r="C8" s="1"/>
      <c r="D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C1:AQ99"/>
  <sheetViews>
    <sheetView showGridLines="0" workbookViewId="0">
      <pane xSplit="3" ySplit="11" topLeftCell="AJ12" activePane="bottomRight" state="frozen"/>
      <selection pane="topRight" activeCell="D1" sqref="D1"/>
      <selection pane="bottomLeft" activeCell="A12" sqref="A12"/>
      <selection pane="bottomRight" activeCell="AQ12" sqref="AQ12"/>
    </sheetView>
  </sheetViews>
  <sheetFormatPr defaultColWidth="15" defaultRowHeight="15" customHeight="1" x14ac:dyDescent="0.25"/>
  <cols>
    <col min="1" max="2" width="2" customWidth="1"/>
    <col min="3" max="3" width="25" customWidth="1"/>
  </cols>
  <sheetData>
    <row r="1" spans="3:43" ht="13.5" customHeight="1" x14ac:dyDescent="0.25"/>
    <row r="2" spans="3:43" ht="33" customHeight="1" x14ac:dyDescent="0.4">
      <c r="C2" s="72" t="s">
        <v>311</v>
      </c>
      <c r="D2" s="73"/>
      <c r="E2" s="73"/>
    </row>
    <row r="3" spans="3:43" x14ac:dyDescent="0.25">
      <c r="C3" s="53" t="s">
        <v>164</v>
      </c>
    </row>
    <row r="4" spans="3:43" x14ac:dyDescent="0.25"/>
    <row r="5" spans="3:43" x14ac:dyDescent="0.25"/>
    <row r="6" spans="3:43" x14ac:dyDescent="0.25">
      <c r="C6" s="74" t="s">
        <v>165</v>
      </c>
      <c r="D6" s="73"/>
      <c r="E6" s="54"/>
      <c r="F6" s="54"/>
      <c r="G6" s="54"/>
      <c r="H6" s="54"/>
      <c r="I6" s="54"/>
      <c r="J6" s="54"/>
      <c r="K6" s="54"/>
      <c r="L6" s="54"/>
    </row>
    <row r="7" spans="3:43" x14ac:dyDescent="0.25"/>
    <row r="8" spans="3:43" ht="33" customHeight="1" x14ac:dyDescent="0.25">
      <c r="C8" s="55"/>
      <c r="D8" s="55" t="s">
        <v>166</v>
      </c>
      <c r="E8" s="55" t="s">
        <v>167</v>
      </c>
      <c r="F8" s="55" t="s">
        <v>168</v>
      </c>
      <c r="G8" s="55" t="s">
        <v>169</v>
      </c>
      <c r="H8" s="55" t="s">
        <v>170</v>
      </c>
      <c r="I8" s="55" t="s">
        <v>171</v>
      </c>
      <c r="J8" s="55" t="s">
        <v>172</v>
      </c>
      <c r="K8" s="55" t="s">
        <v>173</v>
      </c>
      <c r="L8" s="55" t="s">
        <v>174</v>
      </c>
      <c r="M8" s="55" t="s">
        <v>175</v>
      </c>
      <c r="N8" s="55" t="s">
        <v>176</v>
      </c>
      <c r="O8" s="55" t="s">
        <v>177</v>
      </c>
      <c r="P8" s="55" t="s">
        <v>178</v>
      </c>
      <c r="Q8" s="55" t="s">
        <v>179</v>
      </c>
      <c r="R8" s="55" t="s">
        <v>180</v>
      </c>
      <c r="S8" s="55" t="s">
        <v>181</v>
      </c>
      <c r="T8" s="55" t="s">
        <v>182</v>
      </c>
      <c r="U8" s="55" t="s">
        <v>183</v>
      </c>
      <c r="V8" s="55" t="s">
        <v>184</v>
      </c>
      <c r="W8" s="55" t="s">
        <v>185</v>
      </c>
      <c r="X8" t="s">
        <v>186</v>
      </c>
      <c r="Y8" t="s">
        <v>187</v>
      </c>
      <c r="Z8" t="s">
        <v>188</v>
      </c>
      <c r="AA8" t="s">
        <v>189</v>
      </c>
      <c r="AB8" t="s">
        <v>190</v>
      </c>
      <c r="AC8" t="s">
        <v>191</v>
      </c>
      <c r="AD8" t="s">
        <v>192</v>
      </c>
      <c r="AE8" t="s">
        <v>193</v>
      </c>
      <c r="AF8" t="s">
        <v>194</v>
      </c>
      <c r="AG8" t="s">
        <v>195</v>
      </c>
      <c r="AH8" t="s">
        <v>196</v>
      </c>
      <c r="AI8" t="s">
        <v>197</v>
      </c>
      <c r="AJ8" t="s">
        <v>198</v>
      </c>
      <c r="AK8" t="s">
        <v>199</v>
      </c>
      <c r="AL8" t="s">
        <v>200</v>
      </c>
      <c r="AM8" t="s">
        <v>201</v>
      </c>
      <c r="AN8" t="s">
        <v>202</v>
      </c>
      <c r="AO8" t="s">
        <v>203</v>
      </c>
      <c r="AP8" t="s">
        <v>204</v>
      </c>
      <c r="AQ8" t="s">
        <v>205</v>
      </c>
    </row>
    <row r="9" spans="3:43" x14ac:dyDescent="0.25"/>
    <row r="10" spans="3:43" x14ac:dyDescent="0.25">
      <c r="C10" s="55" t="s">
        <v>206</v>
      </c>
      <c r="D10" s="55" t="s">
        <v>12</v>
      </c>
      <c r="E10" s="55" t="s">
        <v>13</v>
      </c>
      <c r="F10" s="55" t="s">
        <v>14</v>
      </c>
      <c r="G10" s="55" t="s">
        <v>15</v>
      </c>
      <c r="H10" s="55" t="s">
        <v>16</v>
      </c>
      <c r="I10" s="55" t="s">
        <v>17</v>
      </c>
      <c r="J10" s="55" t="s">
        <v>18</v>
      </c>
      <c r="K10" s="55" t="s">
        <v>19</v>
      </c>
      <c r="L10" s="55" t="s">
        <v>20</v>
      </c>
      <c r="M10" s="55" t="s">
        <v>21</v>
      </c>
      <c r="N10" s="55" t="s">
        <v>22</v>
      </c>
      <c r="O10" s="55" t="s">
        <v>23</v>
      </c>
      <c r="P10" s="55" t="s">
        <v>24</v>
      </c>
      <c r="Q10" s="55" t="s">
        <v>25</v>
      </c>
      <c r="R10" s="55" t="s">
        <v>26</v>
      </c>
      <c r="S10" s="55" t="s">
        <v>27</v>
      </c>
      <c r="T10" s="55" t="s">
        <v>28</v>
      </c>
      <c r="U10" s="55" t="s">
        <v>29</v>
      </c>
      <c r="V10" s="55" t="s">
        <v>30</v>
      </c>
      <c r="W10" s="55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</row>
    <row r="11" spans="3:43" x14ac:dyDescent="0.25"/>
    <row r="12" spans="3:43" x14ac:dyDescent="0.25">
      <c r="C12" s="55" t="s">
        <v>207</v>
      </c>
      <c r="D12" s="55">
        <v>16.2</v>
      </c>
      <c r="E12" s="55">
        <v>16.2</v>
      </c>
      <c r="F12" s="55">
        <v>11.8</v>
      </c>
      <c r="G12" s="55">
        <v>11.8</v>
      </c>
      <c r="H12" s="55">
        <v>9.1</v>
      </c>
      <c r="I12" s="55">
        <v>9.1</v>
      </c>
      <c r="J12" s="55">
        <v>8.4</v>
      </c>
      <c r="K12" s="55">
        <v>8.4</v>
      </c>
      <c r="L12" s="55">
        <v>8.1</v>
      </c>
      <c r="M12" s="55">
        <v>8.1</v>
      </c>
      <c r="N12" s="55">
        <v>8.6999999999999993</v>
      </c>
      <c r="O12" s="55">
        <v>8.6999999999999993</v>
      </c>
      <c r="P12" s="55">
        <v>8.1999999999999993</v>
      </c>
      <c r="Q12" s="55">
        <v>8.1999999999999993</v>
      </c>
      <c r="R12" s="55">
        <v>7.8</v>
      </c>
      <c r="S12" s="55">
        <v>7.8</v>
      </c>
      <c r="T12" s="55">
        <v>6.3</v>
      </c>
      <c r="U12" s="55">
        <v>6.3</v>
      </c>
      <c r="V12" s="55">
        <v>5.4</v>
      </c>
      <c r="W12" s="55">
        <v>5.4</v>
      </c>
      <c r="X12">
        <v>5</v>
      </c>
      <c r="Y12">
        <v>5</v>
      </c>
      <c r="Z12">
        <v>6.3</v>
      </c>
      <c r="AA12">
        <v>6.3</v>
      </c>
      <c r="AB12">
        <v>5.3</v>
      </c>
      <c r="AC12">
        <v>5.3</v>
      </c>
      <c r="AD12">
        <v>5.4</v>
      </c>
      <c r="AE12">
        <v>5.4</v>
      </c>
      <c r="AF12">
        <v>5.3</v>
      </c>
      <c r="AG12">
        <v>5.3</v>
      </c>
      <c r="AH12">
        <v>5.8</v>
      </c>
      <c r="AI12">
        <v>5.8</v>
      </c>
      <c r="AJ12">
        <v>5.6</v>
      </c>
      <c r="AK12">
        <v>5.6</v>
      </c>
      <c r="AL12">
        <v>6.4</v>
      </c>
      <c r="AM12">
        <v>6.4</v>
      </c>
      <c r="AN12">
        <v>6.1</v>
      </c>
      <c r="AO12">
        <v>6.1</v>
      </c>
      <c r="AP12">
        <v>5.5</v>
      </c>
      <c r="AQ12">
        <v>5.5</v>
      </c>
    </row>
    <row r="13" spans="3:43" x14ac:dyDescent="0.25">
      <c r="C13" s="55" t="s">
        <v>208</v>
      </c>
      <c r="D13" s="55" t="s">
        <v>209</v>
      </c>
      <c r="E13" s="55" t="s">
        <v>209</v>
      </c>
      <c r="F13" s="55" t="s">
        <v>210</v>
      </c>
      <c r="G13" s="55" t="s">
        <v>210</v>
      </c>
      <c r="H13" s="55" t="s">
        <v>211</v>
      </c>
      <c r="I13" s="55" t="s">
        <v>211</v>
      </c>
      <c r="J13" s="55" t="s">
        <v>212</v>
      </c>
      <c r="K13" s="55" t="s">
        <v>212</v>
      </c>
      <c r="L13" s="55" t="s">
        <v>213</v>
      </c>
      <c r="M13" s="55" t="s">
        <v>213</v>
      </c>
      <c r="N13" s="55" t="s">
        <v>214</v>
      </c>
      <c r="O13" s="55" t="s">
        <v>214</v>
      </c>
      <c r="P13" s="55" t="s">
        <v>215</v>
      </c>
      <c r="Q13" s="55" t="s">
        <v>215</v>
      </c>
      <c r="R13" s="55" t="s">
        <v>216</v>
      </c>
      <c r="S13" s="55" t="s">
        <v>216</v>
      </c>
      <c r="T13" s="55" t="s">
        <v>217</v>
      </c>
      <c r="U13" s="55" t="s">
        <v>217</v>
      </c>
      <c r="V13" s="55" t="s">
        <v>218</v>
      </c>
      <c r="W13" s="55" t="s">
        <v>218</v>
      </c>
      <c r="X13" t="s">
        <v>219</v>
      </c>
      <c r="Y13" t="s">
        <v>219</v>
      </c>
      <c r="Z13" t="s">
        <v>220</v>
      </c>
      <c r="AA13" t="s">
        <v>220</v>
      </c>
      <c r="AB13" t="s">
        <v>221</v>
      </c>
      <c r="AC13" t="s">
        <v>221</v>
      </c>
      <c r="AD13" t="s">
        <v>222</v>
      </c>
      <c r="AE13" t="s">
        <v>222</v>
      </c>
      <c r="AF13" t="s">
        <v>223</v>
      </c>
      <c r="AG13" t="s">
        <v>223</v>
      </c>
      <c r="AH13" t="s">
        <v>224</v>
      </c>
      <c r="AI13" t="s">
        <v>224</v>
      </c>
      <c r="AJ13" t="s">
        <v>225</v>
      </c>
      <c r="AK13" t="s">
        <v>225</v>
      </c>
      <c r="AL13" t="s">
        <v>226</v>
      </c>
      <c r="AM13" t="s">
        <v>226</v>
      </c>
      <c r="AN13" t="s">
        <v>227</v>
      </c>
      <c r="AO13" t="s">
        <v>227</v>
      </c>
      <c r="AP13" t="s">
        <v>228</v>
      </c>
      <c r="AQ13" t="s">
        <v>228</v>
      </c>
    </row>
    <row r="14" spans="3:43" x14ac:dyDescent="0.25"/>
    <row r="15" spans="3:43" x14ac:dyDescent="0.25">
      <c r="C15" s="55" t="s">
        <v>229</v>
      </c>
      <c r="D15" s="55">
        <v>-9.1999999999999993</v>
      </c>
      <c r="E15" s="55">
        <v>-9.1999999999999993</v>
      </c>
      <c r="F15" s="55">
        <v>-7.7</v>
      </c>
      <c r="G15" s="55">
        <v>-7.7</v>
      </c>
      <c r="H15" s="55">
        <v>-5.5</v>
      </c>
      <c r="I15" s="55">
        <v>-5.5</v>
      </c>
      <c r="J15" s="55">
        <v>-5.9</v>
      </c>
      <c r="K15" s="55">
        <v>-5.9</v>
      </c>
      <c r="L15" s="55">
        <v>-5.7</v>
      </c>
      <c r="M15" s="55">
        <v>-5.7</v>
      </c>
      <c r="N15" s="55">
        <v>-8.5</v>
      </c>
      <c r="O15" s="55">
        <v>-8.5</v>
      </c>
      <c r="P15" s="55">
        <v>-5.6</v>
      </c>
      <c r="Q15" s="55">
        <v>-5.6</v>
      </c>
      <c r="R15" s="55">
        <v>-5</v>
      </c>
      <c r="S15" s="55">
        <v>-5</v>
      </c>
      <c r="T15" s="55">
        <v>-4</v>
      </c>
      <c r="U15" s="55">
        <v>-4</v>
      </c>
      <c r="V15" s="55">
        <v>-3.6</v>
      </c>
      <c r="W15" s="55">
        <v>-3.6</v>
      </c>
      <c r="X15">
        <v>-2.9</v>
      </c>
      <c r="Y15">
        <v>-2.9</v>
      </c>
      <c r="Z15">
        <v>-3.7</v>
      </c>
      <c r="AA15">
        <v>-3.7</v>
      </c>
      <c r="AB15">
        <v>-2.1</v>
      </c>
      <c r="AC15">
        <v>-2.1</v>
      </c>
      <c r="AD15">
        <v>-3.4</v>
      </c>
      <c r="AE15">
        <v>-3.4</v>
      </c>
      <c r="AF15">
        <v>-2.1</v>
      </c>
      <c r="AG15">
        <v>-2.1</v>
      </c>
      <c r="AH15">
        <v>-2.6</v>
      </c>
      <c r="AI15">
        <v>-2.6</v>
      </c>
      <c r="AJ15">
        <v>-2.2999999999999998</v>
      </c>
      <c r="AK15">
        <v>-2.2999999999999998</v>
      </c>
      <c r="AL15">
        <v>-2.4</v>
      </c>
      <c r="AM15">
        <v>-2.4</v>
      </c>
      <c r="AN15">
        <v>-2.2000000000000002</v>
      </c>
      <c r="AO15">
        <v>-2.2000000000000002</v>
      </c>
      <c r="AP15">
        <v>-2</v>
      </c>
      <c r="AQ15">
        <v>-2</v>
      </c>
    </row>
    <row r="16" spans="3:43" x14ac:dyDescent="0.25">
      <c r="C16" s="55" t="s">
        <v>230</v>
      </c>
      <c r="D16" s="55">
        <v>6.9</v>
      </c>
      <c r="E16" s="55">
        <v>6.9</v>
      </c>
      <c r="F16" s="55">
        <v>4.0999999999999996</v>
      </c>
      <c r="G16" s="55">
        <v>4.0999999999999996</v>
      </c>
      <c r="H16" s="55">
        <v>3.5</v>
      </c>
      <c r="I16" s="55">
        <v>3.5</v>
      </c>
      <c r="J16" s="55">
        <v>2.5</v>
      </c>
      <c r="K16" s="55">
        <v>2.5</v>
      </c>
      <c r="L16" s="55">
        <v>2.4</v>
      </c>
      <c r="M16" s="55">
        <v>2.4</v>
      </c>
      <c r="N16" s="55">
        <v>0.2</v>
      </c>
      <c r="O16" s="55">
        <v>0.2</v>
      </c>
      <c r="P16" s="55">
        <v>2.6</v>
      </c>
      <c r="Q16" s="55">
        <v>2.6</v>
      </c>
      <c r="R16" s="55">
        <v>2.8</v>
      </c>
      <c r="S16" s="55">
        <v>2.8</v>
      </c>
      <c r="T16" s="55">
        <v>2.2999999999999998</v>
      </c>
      <c r="U16" s="55">
        <v>2.2999999999999998</v>
      </c>
      <c r="V16" s="55">
        <v>1.9</v>
      </c>
      <c r="W16" s="55">
        <v>1.9</v>
      </c>
      <c r="X16">
        <v>2.1</v>
      </c>
      <c r="Y16">
        <v>2.1</v>
      </c>
      <c r="Z16">
        <v>2.6</v>
      </c>
      <c r="AA16">
        <v>2.6</v>
      </c>
      <c r="AB16">
        <v>3.1</v>
      </c>
      <c r="AC16">
        <v>3.1</v>
      </c>
      <c r="AD16">
        <v>2</v>
      </c>
      <c r="AE16">
        <v>2</v>
      </c>
      <c r="AF16">
        <v>3.2</v>
      </c>
      <c r="AG16">
        <v>3.2</v>
      </c>
      <c r="AH16">
        <v>3.2</v>
      </c>
      <c r="AI16">
        <v>3.2</v>
      </c>
      <c r="AJ16">
        <v>3.3</v>
      </c>
      <c r="AK16">
        <v>3.3</v>
      </c>
      <c r="AL16">
        <v>4.0999999999999996</v>
      </c>
      <c r="AM16">
        <v>4.0999999999999996</v>
      </c>
      <c r="AN16">
        <v>3.9</v>
      </c>
      <c r="AO16">
        <v>3.9</v>
      </c>
      <c r="AP16">
        <v>3.5</v>
      </c>
      <c r="AQ16">
        <v>3.5</v>
      </c>
    </row>
    <row r="17" spans="3:43" x14ac:dyDescent="0.25">
      <c r="C17" s="55" t="s">
        <v>231</v>
      </c>
      <c r="D17" s="55" t="s">
        <v>232</v>
      </c>
      <c r="E17" s="55" t="s">
        <v>232</v>
      </c>
      <c r="F17" s="55" t="s">
        <v>233</v>
      </c>
      <c r="G17" s="55" t="s">
        <v>233</v>
      </c>
      <c r="H17" s="55" t="s">
        <v>234</v>
      </c>
      <c r="I17" s="55" t="s">
        <v>234</v>
      </c>
      <c r="J17" s="55" t="s">
        <v>235</v>
      </c>
      <c r="K17" s="55" t="s">
        <v>235</v>
      </c>
      <c r="L17" s="55" t="s">
        <v>236</v>
      </c>
      <c r="M17" s="55" t="s">
        <v>236</v>
      </c>
      <c r="N17" s="55" t="s">
        <v>237</v>
      </c>
      <c r="O17" s="55" t="s">
        <v>237</v>
      </c>
      <c r="P17" s="55" t="s">
        <v>238</v>
      </c>
      <c r="Q17" s="55" t="s">
        <v>238</v>
      </c>
      <c r="R17" s="55" t="s">
        <v>239</v>
      </c>
      <c r="S17" s="55" t="s">
        <v>239</v>
      </c>
      <c r="T17" s="55" t="s">
        <v>240</v>
      </c>
      <c r="U17" s="55" t="s">
        <v>240</v>
      </c>
      <c r="V17" s="55" t="s">
        <v>241</v>
      </c>
      <c r="W17" s="55" t="s">
        <v>241</v>
      </c>
      <c r="X17" t="s">
        <v>242</v>
      </c>
      <c r="Y17" t="s">
        <v>242</v>
      </c>
      <c r="Z17" t="s">
        <v>243</v>
      </c>
      <c r="AA17" t="s">
        <v>243</v>
      </c>
      <c r="AB17" t="s">
        <v>244</v>
      </c>
      <c r="AC17" t="s">
        <v>244</v>
      </c>
      <c r="AD17" t="s">
        <v>245</v>
      </c>
      <c r="AE17" t="s">
        <v>245</v>
      </c>
      <c r="AF17" t="s">
        <v>246</v>
      </c>
      <c r="AG17" t="s">
        <v>246</v>
      </c>
      <c r="AH17" t="s">
        <v>247</v>
      </c>
      <c r="AI17" t="s">
        <v>247</v>
      </c>
      <c r="AJ17" t="s">
        <v>248</v>
      </c>
      <c r="AK17" t="s">
        <v>248</v>
      </c>
      <c r="AL17" t="s">
        <v>249</v>
      </c>
      <c r="AM17" t="s">
        <v>249</v>
      </c>
      <c r="AN17" t="s">
        <v>250</v>
      </c>
      <c r="AO17" t="s">
        <v>250</v>
      </c>
      <c r="AP17" t="s">
        <v>251</v>
      </c>
      <c r="AQ17" t="s">
        <v>251</v>
      </c>
    </row>
    <row r="18" spans="3:43" x14ac:dyDescent="0.25"/>
    <row r="19" spans="3:43" x14ac:dyDescent="0.25">
      <c r="C19" s="55" t="s">
        <v>252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3:43" x14ac:dyDescent="0.25">
      <c r="C20" s="55" t="s">
        <v>253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 spans="3:43" x14ac:dyDescent="0.25">
      <c r="C21" s="55" t="s">
        <v>254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spans="3:43" x14ac:dyDescent="0.25">
      <c r="C22" s="55" t="s">
        <v>255</v>
      </c>
      <c r="D22" s="55">
        <v>-1</v>
      </c>
      <c r="E22" s="55">
        <v>-1</v>
      </c>
      <c r="F22" s="55">
        <v>-0.7</v>
      </c>
      <c r="G22" s="55">
        <v>-0.7</v>
      </c>
      <c r="H22" s="55">
        <v>-1</v>
      </c>
      <c r="I22" s="55">
        <v>-1</v>
      </c>
      <c r="J22" s="55">
        <v>-0.6</v>
      </c>
      <c r="K22" s="55">
        <v>-0.6</v>
      </c>
      <c r="L22" s="55">
        <v>-1.2</v>
      </c>
      <c r="M22" s="55">
        <v>-1.2</v>
      </c>
      <c r="N22" s="55">
        <v>2.7</v>
      </c>
      <c r="O22" s="55">
        <v>2.7</v>
      </c>
      <c r="P22" s="55">
        <v>-1</v>
      </c>
      <c r="Q22" s="55">
        <v>-1</v>
      </c>
      <c r="R22" s="55">
        <v>-0.1</v>
      </c>
      <c r="S22" s="55">
        <v>-0.1</v>
      </c>
      <c r="T22" s="55">
        <v>-0.7</v>
      </c>
      <c r="U22" s="55">
        <v>-0.7</v>
      </c>
      <c r="V22" s="55">
        <v>-0.7</v>
      </c>
      <c r="W22" s="55">
        <v>-0.7</v>
      </c>
      <c r="X22">
        <v>-0.7</v>
      </c>
      <c r="Y22">
        <v>-0.7</v>
      </c>
      <c r="Z22">
        <v>-0.4</v>
      </c>
      <c r="AA22">
        <v>-0.4</v>
      </c>
      <c r="AB22">
        <v>-1.5</v>
      </c>
      <c r="AC22">
        <v>-1.5</v>
      </c>
      <c r="AD22">
        <v>-0.2</v>
      </c>
      <c r="AE22">
        <v>-0.2</v>
      </c>
      <c r="AF22">
        <v>-1.6</v>
      </c>
      <c r="AG22">
        <v>-1.6</v>
      </c>
      <c r="AH22">
        <v>-1.6</v>
      </c>
      <c r="AI22">
        <v>-1.6</v>
      </c>
      <c r="AJ22">
        <v>-1.4</v>
      </c>
      <c r="AK22">
        <v>-1.4</v>
      </c>
      <c r="AL22">
        <v>-1.7</v>
      </c>
      <c r="AM22">
        <v>-1.7</v>
      </c>
      <c r="AN22">
        <v>-1.5</v>
      </c>
      <c r="AO22">
        <v>-1.5</v>
      </c>
      <c r="AP22">
        <v>-1.6</v>
      </c>
      <c r="AQ22">
        <v>-1.6</v>
      </c>
    </row>
    <row r="23" spans="3:43" x14ac:dyDescent="0.25">
      <c r="C23" s="55" t="s">
        <v>256</v>
      </c>
      <c r="D23" s="55">
        <v>-5.8</v>
      </c>
      <c r="E23" s="55">
        <v>-5.8</v>
      </c>
      <c r="F23" s="55">
        <v>-4.7</v>
      </c>
      <c r="G23" s="55">
        <v>-4.7</v>
      </c>
      <c r="H23" s="55">
        <v>-3.9</v>
      </c>
      <c r="I23" s="55">
        <v>-3.9</v>
      </c>
      <c r="J23" s="55">
        <v>-3.6</v>
      </c>
      <c r="K23" s="55">
        <v>-3.6</v>
      </c>
      <c r="L23" s="55">
        <v>-4</v>
      </c>
      <c r="M23" s="55">
        <v>-4</v>
      </c>
      <c r="N23" s="55">
        <v>-3.1</v>
      </c>
      <c r="O23" s="55">
        <v>-3.1</v>
      </c>
      <c r="P23" s="55">
        <v>-3.6</v>
      </c>
      <c r="Q23" s="55">
        <v>-3.6</v>
      </c>
      <c r="R23" s="55">
        <v>-2.6</v>
      </c>
      <c r="S23" s="55">
        <v>-2.6</v>
      </c>
      <c r="T23" s="55">
        <v>-2.9</v>
      </c>
      <c r="U23" s="55">
        <v>-2.9</v>
      </c>
      <c r="V23" s="55">
        <v>-2.7</v>
      </c>
      <c r="W23" s="55">
        <v>-2.7</v>
      </c>
      <c r="X23">
        <v>-2.5</v>
      </c>
      <c r="Y23">
        <v>-2.5</v>
      </c>
      <c r="Z23">
        <v>-2.1</v>
      </c>
      <c r="AA23">
        <v>-2.1</v>
      </c>
      <c r="AB23">
        <v>-3.1</v>
      </c>
      <c r="AC23">
        <v>-3.1</v>
      </c>
      <c r="AD23">
        <v>-2</v>
      </c>
      <c r="AE23">
        <v>-2</v>
      </c>
      <c r="AF23">
        <v>-3.3</v>
      </c>
      <c r="AG23">
        <v>-3.3</v>
      </c>
      <c r="AH23">
        <v>-3.5</v>
      </c>
      <c r="AI23">
        <v>-3.5</v>
      </c>
      <c r="AJ23">
        <v>-3.2</v>
      </c>
      <c r="AK23">
        <v>-3.2</v>
      </c>
      <c r="AL23">
        <v>-3.6</v>
      </c>
      <c r="AM23">
        <v>-3.6</v>
      </c>
      <c r="AN23">
        <v>-3.4</v>
      </c>
      <c r="AO23">
        <v>-3.4</v>
      </c>
      <c r="AP23">
        <v>-3.7</v>
      </c>
      <c r="AQ23">
        <v>-3.7</v>
      </c>
    </row>
    <row r="24" spans="3:43" x14ac:dyDescent="0.25">
      <c r="C24" s="55" t="s">
        <v>257</v>
      </c>
      <c r="D24" s="55">
        <v>1.1000000000000001</v>
      </c>
      <c r="E24" s="55">
        <v>1.1000000000000001</v>
      </c>
      <c r="F24" s="55">
        <v>-0.6</v>
      </c>
      <c r="G24" s="55">
        <v>-0.6</v>
      </c>
      <c r="H24" s="55">
        <v>-0.4</v>
      </c>
      <c r="I24" s="55">
        <v>-0.4</v>
      </c>
      <c r="J24" s="55">
        <v>-1.1000000000000001</v>
      </c>
      <c r="K24" s="55">
        <v>-1.1000000000000001</v>
      </c>
      <c r="L24" s="55">
        <v>-1.6</v>
      </c>
      <c r="M24" s="55">
        <v>-1.6</v>
      </c>
      <c r="N24" s="55">
        <v>-2.9</v>
      </c>
      <c r="O24" s="55">
        <v>-2.9</v>
      </c>
      <c r="P24" s="55">
        <v>-1</v>
      </c>
      <c r="Q24" s="55">
        <v>-1</v>
      </c>
      <c r="R24" s="55">
        <v>0.2</v>
      </c>
      <c r="S24" s="55">
        <v>0.2</v>
      </c>
      <c r="T24" s="55">
        <v>-0.6</v>
      </c>
      <c r="U24" s="55">
        <v>-0.6</v>
      </c>
      <c r="V24" s="55">
        <v>-0.8</v>
      </c>
      <c r="W24" s="55">
        <v>-0.8</v>
      </c>
      <c r="X24">
        <v>-0.4</v>
      </c>
      <c r="Y24">
        <v>-0.4</v>
      </c>
      <c r="Z24">
        <v>0.5</v>
      </c>
      <c r="AA24">
        <v>0.5</v>
      </c>
      <c r="AB24">
        <v>0</v>
      </c>
      <c r="AC24">
        <v>0</v>
      </c>
      <c r="AD24">
        <v>0</v>
      </c>
      <c r="AE24">
        <v>0</v>
      </c>
      <c r="AF24">
        <v>-0.1</v>
      </c>
      <c r="AG24">
        <v>-0.1</v>
      </c>
      <c r="AH24">
        <v>-0.2</v>
      </c>
      <c r="AI24">
        <v>-0.2</v>
      </c>
      <c r="AJ24">
        <v>0.1</v>
      </c>
      <c r="AK24">
        <v>0.1</v>
      </c>
      <c r="AL24">
        <v>0.5</v>
      </c>
      <c r="AM24">
        <v>0.5</v>
      </c>
      <c r="AN24">
        <v>0.5</v>
      </c>
      <c r="AO24">
        <v>0.5</v>
      </c>
      <c r="AP24">
        <v>-0.2</v>
      </c>
      <c r="AQ24">
        <v>-0.2</v>
      </c>
    </row>
    <row r="25" spans="3:43" x14ac:dyDescent="0.25"/>
    <row r="26" spans="3:43" x14ac:dyDescent="0.25">
      <c r="C26" s="55" t="s">
        <v>258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0.2</v>
      </c>
      <c r="O26" s="55">
        <v>0.2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0.2</v>
      </c>
      <c r="AE26">
        <v>0.2</v>
      </c>
      <c r="AF26">
        <v>0</v>
      </c>
      <c r="AG26">
        <v>0</v>
      </c>
      <c r="AH26">
        <v>0.1</v>
      </c>
      <c r="AI26">
        <v>0.1</v>
      </c>
      <c r="AJ26">
        <v>0.1</v>
      </c>
      <c r="AK26">
        <v>0.1</v>
      </c>
      <c r="AL26">
        <v>0.2</v>
      </c>
      <c r="AM26">
        <v>0.2</v>
      </c>
      <c r="AN26">
        <v>0.2</v>
      </c>
      <c r="AO26">
        <v>0.2</v>
      </c>
      <c r="AP26">
        <v>0.2</v>
      </c>
      <c r="AQ26">
        <v>0.2</v>
      </c>
    </row>
    <row r="27" spans="3:43" x14ac:dyDescent="0.25">
      <c r="C27" s="55" t="s">
        <v>259</v>
      </c>
      <c r="D27" s="55">
        <v>1.1000000000000001</v>
      </c>
      <c r="E27" s="55">
        <v>1.1000000000000001</v>
      </c>
      <c r="F27" s="55">
        <v>-0.6</v>
      </c>
      <c r="G27" s="55">
        <v>-0.6</v>
      </c>
      <c r="H27" s="55">
        <v>-0.4</v>
      </c>
      <c r="I27" s="55">
        <v>-0.4</v>
      </c>
      <c r="J27" s="55">
        <v>-1.1000000000000001</v>
      </c>
      <c r="K27" s="55">
        <v>-1.1000000000000001</v>
      </c>
      <c r="L27" s="55">
        <v>-1.6</v>
      </c>
      <c r="M27" s="55">
        <v>-1.6</v>
      </c>
      <c r="N27" s="55">
        <v>-2.7</v>
      </c>
      <c r="O27" s="55">
        <v>-2.7</v>
      </c>
      <c r="P27" s="55">
        <v>-1</v>
      </c>
      <c r="Q27" s="55">
        <v>-1</v>
      </c>
      <c r="R27" s="55">
        <v>0.2</v>
      </c>
      <c r="S27" s="55">
        <v>0.2</v>
      </c>
      <c r="T27" s="55">
        <v>-0.6</v>
      </c>
      <c r="U27" s="55">
        <v>-0.6</v>
      </c>
      <c r="V27" s="55">
        <v>-0.8</v>
      </c>
      <c r="W27" s="55">
        <v>-0.8</v>
      </c>
      <c r="X27">
        <v>-0.4</v>
      </c>
      <c r="Y27">
        <v>-0.4</v>
      </c>
      <c r="Z27">
        <v>0.5</v>
      </c>
      <c r="AA27">
        <v>0.5</v>
      </c>
      <c r="AB27">
        <v>0</v>
      </c>
      <c r="AC27">
        <v>0</v>
      </c>
      <c r="AD27">
        <v>0.2</v>
      </c>
      <c r="AE27">
        <v>0.2</v>
      </c>
      <c r="AF27">
        <v>-0.1</v>
      </c>
      <c r="AG27">
        <v>-0.1</v>
      </c>
      <c r="AH27">
        <v>-0.1</v>
      </c>
      <c r="AI27">
        <v>-0.1</v>
      </c>
      <c r="AJ27">
        <v>0.2</v>
      </c>
      <c r="AK27">
        <v>0.2</v>
      </c>
      <c r="AL27">
        <v>0.7</v>
      </c>
      <c r="AM27">
        <v>0.7</v>
      </c>
      <c r="AN27">
        <v>0.7</v>
      </c>
      <c r="AO27">
        <v>0.7</v>
      </c>
      <c r="AP27">
        <v>0</v>
      </c>
      <c r="AQ27">
        <v>0</v>
      </c>
    </row>
    <row r="28" spans="3:43" x14ac:dyDescent="0.25">
      <c r="C28" s="55" t="s">
        <v>260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 spans="3:43" x14ac:dyDescent="0.25">
      <c r="C29" s="55" t="s">
        <v>261</v>
      </c>
      <c r="D29" s="55">
        <v>-0.4</v>
      </c>
      <c r="E29" s="55">
        <v>-0.4</v>
      </c>
      <c r="F29" s="55">
        <v>0.4</v>
      </c>
      <c r="G29" s="55">
        <v>0.4</v>
      </c>
      <c r="H29" s="55">
        <v>-0.2</v>
      </c>
      <c r="I29" s="55">
        <v>-0.2</v>
      </c>
      <c r="J29" s="55">
        <v>0</v>
      </c>
      <c r="K29" s="55">
        <v>0</v>
      </c>
      <c r="L29" s="55">
        <v>-0.1</v>
      </c>
      <c r="M29" s="55">
        <v>-0.1</v>
      </c>
      <c r="N29" s="55">
        <v>-0.1</v>
      </c>
      <c r="O29" s="55">
        <v>-0.1</v>
      </c>
      <c r="P29" s="55">
        <v>0</v>
      </c>
      <c r="Q29" s="55">
        <v>0</v>
      </c>
      <c r="R29" s="55">
        <v>-0.1</v>
      </c>
      <c r="S29" s="55">
        <v>-0.1</v>
      </c>
      <c r="T29" s="55">
        <v>0</v>
      </c>
      <c r="U29" s="55">
        <v>0</v>
      </c>
      <c r="V29" s="55">
        <v>0</v>
      </c>
      <c r="W29" s="55">
        <v>0</v>
      </c>
      <c r="X29">
        <v>-0.1</v>
      </c>
      <c r="Y29">
        <v>-0.1</v>
      </c>
      <c r="Z29">
        <v>-0.1</v>
      </c>
      <c r="AA29">
        <v>-0.1</v>
      </c>
      <c r="AB29">
        <v>0</v>
      </c>
      <c r="AC29">
        <v>0</v>
      </c>
      <c r="AD29">
        <v>-0.1</v>
      </c>
      <c r="AE29">
        <v>-0.1</v>
      </c>
      <c r="AF29">
        <v>0</v>
      </c>
      <c r="AG29">
        <v>0</v>
      </c>
      <c r="AH29">
        <v>-0.1</v>
      </c>
      <c r="AI29">
        <v>-0.1</v>
      </c>
      <c r="AJ29">
        <v>0</v>
      </c>
      <c r="AK29">
        <v>0</v>
      </c>
      <c r="AL29">
        <v>-0.1</v>
      </c>
      <c r="AM29">
        <v>-0.1</v>
      </c>
      <c r="AN29">
        <v>-0.1</v>
      </c>
      <c r="AO29">
        <v>-0.1</v>
      </c>
      <c r="AP29">
        <v>-0.1</v>
      </c>
      <c r="AQ29">
        <v>-0.1</v>
      </c>
    </row>
    <row r="30" spans="3:43" x14ac:dyDescent="0.25">
      <c r="C30" s="55" t="s">
        <v>262</v>
      </c>
      <c r="D30" s="55">
        <v>0.7</v>
      </c>
      <c r="E30" s="55">
        <v>0.7</v>
      </c>
      <c r="F30" s="55">
        <v>-0.1</v>
      </c>
      <c r="G30" s="55">
        <v>-0.1</v>
      </c>
      <c r="H30" s="55">
        <v>-0.6</v>
      </c>
      <c r="I30" s="55">
        <v>-0.6</v>
      </c>
      <c r="J30" s="55">
        <v>-1.1000000000000001</v>
      </c>
      <c r="K30" s="55">
        <v>-1.1000000000000001</v>
      </c>
      <c r="L30" s="55">
        <v>-1.6</v>
      </c>
      <c r="M30" s="55">
        <v>-1.6</v>
      </c>
      <c r="N30" s="55">
        <v>-2.8</v>
      </c>
      <c r="O30" s="55">
        <v>-2.8</v>
      </c>
      <c r="P30" s="55">
        <v>-1</v>
      </c>
      <c r="Q30" s="55">
        <v>-1</v>
      </c>
      <c r="R30" s="55">
        <v>0.1</v>
      </c>
      <c r="S30" s="55">
        <v>0.1</v>
      </c>
      <c r="T30" s="55">
        <v>-0.6</v>
      </c>
      <c r="U30" s="55">
        <v>-0.6</v>
      </c>
      <c r="V30" s="55">
        <v>-0.9</v>
      </c>
      <c r="W30" s="55">
        <v>-0.9</v>
      </c>
      <c r="X30">
        <v>-0.5</v>
      </c>
      <c r="Y30">
        <v>-0.5</v>
      </c>
      <c r="Z30">
        <v>0.3</v>
      </c>
      <c r="AA30">
        <v>0.3</v>
      </c>
      <c r="AB30">
        <v>0</v>
      </c>
      <c r="AC30">
        <v>0</v>
      </c>
      <c r="AD30">
        <v>0.2</v>
      </c>
      <c r="AE30">
        <v>0.2</v>
      </c>
      <c r="AF30">
        <v>-0.1</v>
      </c>
      <c r="AG30">
        <v>-0.1</v>
      </c>
      <c r="AH30">
        <v>-0.2</v>
      </c>
      <c r="AI30">
        <v>-0.2</v>
      </c>
      <c r="AJ30">
        <v>0.2</v>
      </c>
      <c r="AK30">
        <v>0.2</v>
      </c>
      <c r="AL30">
        <v>0.6</v>
      </c>
      <c r="AM30">
        <v>0.6</v>
      </c>
      <c r="AN30">
        <v>0.7</v>
      </c>
      <c r="AO30">
        <v>0.7</v>
      </c>
      <c r="AP30">
        <v>-0.1</v>
      </c>
      <c r="AQ30">
        <v>-0.1</v>
      </c>
    </row>
    <row r="31" spans="3:43" x14ac:dyDescent="0.25"/>
    <row r="32" spans="3:43" x14ac:dyDescent="0.25">
      <c r="C32" s="55" t="s">
        <v>263</v>
      </c>
      <c r="D32" s="55">
        <v>-0.1</v>
      </c>
      <c r="E32" s="55">
        <v>-0.1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3:43" x14ac:dyDescent="0.25">
      <c r="C33" s="55" t="s">
        <v>264</v>
      </c>
      <c r="D33" s="55">
        <v>0.7</v>
      </c>
      <c r="E33" s="55">
        <v>0.7</v>
      </c>
      <c r="F33" s="55">
        <v>-0.1</v>
      </c>
      <c r="G33" s="55">
        <v>-0.1</v>
      </c>
      <c r="H33" s="55">
        <v>-0.4</v>
      </c>
      <c r="I33" s="55">
        <v>-0.4</v>
      </c>
      <c r="J33" s="55">
        <v>-1.3</v>
      </c>
      <c r="K33" s="55">
        <v>-1.3</v>
      </c>
      <c r="L33" s="55">
        <v>-1.6</v>
      </c>
      <c r="M33" s="55">
        <v>-1.6</v>
      </c>
      <c r="N33" s="55">
        <v>-2.8</v>
      </c>
      <c r="O33" s="55">
        <v>-2.8</v>
      </c>
      <c r="P33" s="55">
        <v>-1</v>
      </c>
      <c r="Q33" s="55">
        <v>-1</v>
      </c>
      <c r="R33" s="55">
        <v>0.1</v>
      </c>
      <c r="S33" s="55">
        <v>0.1</v>
      </c>
      <c r="T33" s="55">
        <v>-0.6</v>
      </c>
      <c r="U33" s="55">
        <v>-0.6</v>
      </c>
      <c r="V33" s="55">
        <v>-0.8</v>
      </c>
      <c r="W33" s="55">
        <v>-0.8</v>
      </c>
      <c r="X33">
        <v>-0.5</v>
      </c>
      <c r="Y33">
        <v>-0.5</v>
      </c>
      <c r="Z33">
        <v>0.3</v>
      </c>
      <c r="AA33">
        <v>0.3</v>
      </c>
      <c r="AB33">
        <v>0</v>
      </c>
      <c r="AC33">
        <v>0</v>
      </c>
      <c r="AD33">
        <v>0.2</v>
      </c>
      <c r="AE33">
        <v>0.2</v>
      </c>
      <c r="AF33">
        <v>-0.1</v>
      </c>
      <c r="AG33">
        <v>-0.1</v>
      </c>
      <c r="AH33">
        <v>-0.2</v>
      </c>
      <c r="AI33">
        <v>-0.2</v>
      </c>
      <c r="AJ33">
        <v>0.2</v>
      </c>
      <c r="AK33">
        <v>0.2</v>
      </c>
      <c r="AL33">
        <v>0.6</v>
      </c>
      <c r="AM33">
        <v>0.6</v>
      </c>
      <c r="AN33">
        <v>0.7</v>
      </c>
      <c r="AO33">
        <v>0.7</v>
      </c>
      <c r="AP33">
        <v>-0.1</v>
      </c>
      <c r="AQ33">
        <v>-0.1</v>
      </c>
    </row>
    <row r="34" spans="3:43" x14ac:dyDescent="0.25"/>
    <row r="35" spans="3:43" x14ac:dyDescent="0.25">
      <c r="C35" s="55" t="s">
        <v>265</v>
      </c>
      <c r="D35" s="55">
        <v>0</v>
      </c>
      <c r="E35" s="55">
        <v>0</v>
      </c>
      <c r="F35" s="55">
        <v>0</v>
      </c>
      <c r="G35" s="55">
        <v>0</v>
      </c>
      <c r="H35" s="55">
        <v>-0.2</v>
      </c>
      <c r="I35" s="55">
        <v>-0.2</v>
      </c>
      <c r="J35" s="55">
        <v>0.2</v>
      </c>
      <c r="K35" s="55">
        <v>0.2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-0.1</v>
      </c>
      <c r="AE35">
        <v>-0.1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3:43" x14ac:dyDescent="0.25">
      <c r="C36" s="55" t="s">
        <v>266</v>
      </c>
      <c r="D36" s="55">
        <v>0.6</v>
      </c>
      <c r="E36" s="55">
        <v>0.6</v>
      </c>
      <c r="F36" s="55">
        <v>-0.1</v>
      </c>
      <c r="G36" s="55">
        <v>-0.1</v>
      </c>
      <c r="H36" s="55">
        <v>-0.6</v>
      </c>
      <c r="I36" s="55">
        <v>-0.6</v>
      </c>
      <c r="J36" s="55">
        <v>-1.1000000000000001</v>
      </c>
      <c r="K36" s="55">
        <v>-1.1000000000000001</v>
      </c>
      <c r="L36" s="55">
        <v>-1.6</v>
      </c>
      <c r="M36" s="55">
        <v>-1.6</v>
      </c>
      <c r="N36" s="55">
        <v>-2.8</v>
      </c>
      <c r="O36" s="55">
        <v>-2.8</v>
      </c>
      <c r="P36" s="55">
        <v>-1</v>
      </c>
      <c r="Q36" s="55">
        <v>-1</v>
      </c>
      <c r="R36" s="55">
        <v>0.1</v>
      </c>
      <c r="S36" s="55">
        <v>0.1</v>
      </c>
      <c r="T36" s="55">
        <v>-0.6</v>
      </c>
      <c r="U36" s="55">
        <v>-0.6</v>
      </c>
      <c r="V36" s="55">
        <v>-0.8</v>
      </c>
      <c r="W36" s="55">
        <v>-0.8</v>
      </c>
      <c r="X36">
        <v>-0.5</v>
      </c>
      <c r="Y36">
        <v>-0.5</v>
      </c>
      <c r="Z36">
        <v>0.3</v>
      </c>
      <c r="AA36">
        <v>0.3</v>
      </c>
      <c r="AB36">
        <v>0</v>
      </c>
      <c r="AC36">
        <v>0</v>
      </c>
      <c r="AD36">
        <v>0.2</v>
      </c>
      <c r="AE36">
        <v>0.2</v>
      </c>
      <c r="AF36">
        <v>-0.1</v>
      </c>
      <c r="AG36">
        <v>-0.1</v>
      </c>
      <c r="AH36">
        <v>-0.2</v>
      </c>
      <c r="AI36">
        <v>-0.2</v>
      </c>
      <c r="AJ36">
        <v>0.2</v>
      </c>
      <c r="AK36">
        <v>0.2</v>
      </c>
      <c r="AL36">
        <v>0.6</v>
      </c>
      <c r="AM36">
        <v>0.6</v>
      </c>
      <c r="AN36">
        <v>0.7</v>
      </c>
      <c r="AO36">
        <v>0.7</v>
      </c>
      <c r="AP36">
        <v>-0.1</v>
      </c>
      <c r="AQ36">
        <v>-0.1</v>
      </c>
    </row>
    <row r="37" spans="3:43" x14ac:dyDescent="0.25"/>
    <row r="38" spans="3:43" x14ac:dyDescent="0.25">
      <c r="C38" s="55" t="s">
        <v>267</v>
      </c>
      <c r="D38" s="55">
        <v>0.19</v>
      </c>
      <c r="E38" s="55">
        <v>0.19</v>
      </c>
      <c r="F38" s="55">
        <v>-0.03</v>
      </c>
      <c r="G38" s="55">
        <v>-0.03</v>
      </c>
      <c r="H38" s="55">
        <v>-0.16</v>
      </c>
      <c r="I38" s="55">
        <v>-0.16</v>
      </c>
      <c r="J38" s="55">
        <v>-0.28000000000000003</v>
      </c>
      <c r="K38" s="55">
        <v>-0.28000000000000003</v>
      </c>
      <c r="L38" s="55">
        <v>-0.44</v>
      </c>
      <c r="M38" s="55">
        <v>-0.44</v>
      </c>
      <c r="N38" s="55"/>
      <c r="O38" s="55">
        <v>-0.75</v>
      </c>
      <c r="P38" s="55">
        <v>-0.27</v>
      </c>
      <c r="Q38" s="55">
        <v>-0.27</v>
      </c>
      <c r="R38" s="55">
        <v>2.4E-2</v>
      </c>
      <c r="S38" s="55">
        <v>2.4E-2</v>
      </c>
      <c r="T38" s="55">
        <v>-0.16</v>
      </c>
      <c r="U38" s="55">
        <v>-0.16</v>
      </c>
      <c r="V38" s="55">
        <v>-0.23</v>
      </c>
      <c r="W38" s="55">
        <v>-0.23</v>
      </c>
      <c r="X38">
        <v>-0.13</v>
      </c>
      <c r="Y38">
        <v>-0.13</v>
      </c>
      <c r="AB38">
        <v>5.0000000000000001E-3</v>
      </c>
      <c r="AC38">
        <v>5.0000000000000001E-3</v>
      </c>
      <c r="AF38">
        <v>-3.5000000000000003E-2</v>
      </c>
      <c r="AG38">
        <v>-3.5000000000000003E-2</v>
      </c>
      <c r="AH38">
        <v>-0.05</v>
      </c>
      <c r="AI38">
        <v>-0.05</v>
      </c>
      <c r="AJ38">
        <v>0.05</v>
      </c>
      <c r="AK38">
        <v>0.05</v>
      </c>
      <c r="AL38">
        <v>0.16</v>
      </c>
      <c r="AM38">
        <v>0.16</v>
      </c>
      <c r="AN38">
        <v>0.18</v>
      </c>
      <c r="AO38">
        <v>0.18</v>
      </c>
      <c r="AP38">
        <v>-3.5999999999999997E-2</v>
      </c>
      <c r="AQ38">
        <v>-3.5999999999999997E-2</v>
      </c>
    </row>
    <row r="39" spans="3:43" x14ac:dyDescent="0.25">
      <c r="C39" s="55" t="s">
        <v>268</v>
      </c>
      <c r="D39" s="55">
        <v>0.19</v>
      </c>
      <c r="E39" s="55">
        <v>0.19</v>
      </c>
      <c r="F39" s="55">
        <v>-0.03</v>
      </c>
      <c r="G39" s="55">
        <v>-0.03</v>
      </c>
      <c r="H39" s="55">
        <v>-0.16</v>
      </c>
      <c r="I39" s="55">
        <v>-0.16</v>
      </c>
      <c r="J39" s="55">
        <v>-0.28000000000000003</v>
      </c>
      <c r="K39" s="55">
        <v>-0.28000000000000003</v>
      </c>
      <c r="L39" s="55">
        <v>-0.44</v>
      </c>
      <c r="M39" s="55">
        <v>-0.44</v>
      </c>
      <c r="N39" s="55"/>
      <c r="O39" s="55">
        <v>-0.75</v>
      </c>
      <c r="P39" s="55">
        <v>-0.27</v>
      </c>
      <c r="Q39" s="55">
        <v>-0.27</v>
      </c>
      <c r="R39" s="55">
        <v>2.4E-2</v>
      </c>
      <c r="S39" s="55">
        <v>2.4E-2</v>
      </c>
      <c r="T39" s="55">
        <v>-0.16</v>
      </c>
      <c r="U39" s="55">
        <v>-0.16</v>
      </c>
      <c r="V39" s="55">
        <v>-0.23</v>
      </c>
      <c r="W39" s="55">
        <v>-0.23</v>
      </c>
      <c r="X39">
        <v>-0.13</v>
      </c>
      <c r="Y39">
        <v>-0.13</v>
      </c>
      <c r="AB39">
        <v>5.0000000000000001E-3</v>
      </c>
      <c r="AC39">
        <v>5.0000000000000001E-3</v>
      </c>
      <c r="AF39">
        <v>-3.5000000000000003E-2</v>
      </c>
      <c r="AG39">
        <v>-3.5000000000000003E-2</v>
      </c>
      <c r="AH39">
        <v>-0.05</v>
      </c>
      <c r="AI39">
        <v>-0.05</v>
      </c>
      <c r="AJ39">
        <v>0.05</v>
      </c>
      <c r="AK39">
        <v>0.05</v>
      </c>
      <c r="AL39">
        <v>0.16</v>
      </c>
      <c r="AM39">
        <v>0.16</v>
      </c>
      <c r="AN39">
        <v>0.18</v>
      </c>
      <c r="AO39">
        <v>0.18</v>
      </c>
      <c r="AP39">
        <v>-3.5999999999999997E-2</v>
      </c>
      <c r="AQ39">
        <v>-3.5999999999999997E-2</v>
      </c>
    </row>
    <row r="40" spans="3:43" x14ac:dyDescent="0.25">
      <c r="C40" s="55" t="s">
        <v>269</v>
      </c>
      <c r="D40" s="55">
        <v>3.4</v>
      </c>
      <c r="E40" s="55">
        <v>3.4</v>
      </c>
      <c r="F40" s="55">
        <v>3.5</v>
      </c>
      <c r="G40" s="55">
        <v>3.5</v>
      </c>
      <c r="H40" s="55">
        <v>3.6</v>
      </c>
      <c r="I40" s="55">
        <v>3.6</v>
      </c>
      <c r="J40" s="55">
        <v>3.8</v>
      </c>
      <c r="K40" s="55">
        <v>3.8</v>
      </c>
      <c r="L40" s="55">
        <v>3.7</v>
      </c>
      <c r="M40" s="55">
        <v>3.7</v>
      </c>
      <c r="N40" s="55"/>
      <c r="O40" s="55">
        <v>3.7</v>
      </c>
      <c r="P40" s="55">
        <v>3.6</v>
      </c>
      <c r="Q40" s="55">
        <v>3.6</v>
      </c>
      <c r="R40" s="55">
        <v>3.7</v>
      </c>
      <c r="S40" s="55">
        <v>3.7</v>
      </c>
      <c r="T40" s="55">
        <v>3.6</v>
      </c>
      <c r="U40" s="55">
        <v>3.6</v>
      </c>
      <c r="V40" s="55">
        <v>3.6</v>
      </c>
      <c r="W40" s="55">
        <v>3.6</v>
      </c>
      <c r="X40">
        <v>3.6</v>
      </c>
      <c r="Y40">
        <v>3.6</v>
      </c>
      <c r="AB40">
        <v>4.5</v>
      </c>
      <c r="AC40">
        <v>4.5</v>
      </c>
      <c r="AF40">
        <v>3.7</v>
      </c>
      <c r="AG40">
        <v>3.7</v>
      </c>
      <c r="AH40">
        <v>3.8</v>
      </c>
      <c r="AI40">
        <v>3.8</v>
      </c>
      <c r="AJ40">
        <v>3.8</v>
      </c>
      <c r="AK40">
        <v>3.8</v>
      </c>
      <c r="AL40">
        <v>3.6</v>
      </c>
      <c r="AM40">
        <v>3.6</v>
      </c>
      <c r="AN40">
        <v>3.7</v>
      </c>
      <c r="AO40">
        <v>3.7</v>
      </c>
      <c r="AP40">
        <v>3.9</v>
      </c>
      <c r="AQ40">
        <v>3.9</v>
      </c>
    </row>
    <row r="41" spans="3:43" x14ac:dyDescent="0.25">
      <c r="C41" s="55" t="s">
        <v>270</v>
      </c>
      <c r="D41" s="55">
        <v>3.4</v>
      </c>
      <c r="E41" s="55">
        <v>3.4</v>
      </c>
      <c r="F41" s="55">
        <v>3.5</v>
      </c>
      <c r="G41" s="55">
        <v>3.5</v>
      </c>
      <c r="H41" s="55">
        <v>3.6</v>
      </c>
      <c r="I41" s="55">
        <v>3.6</v>
      </c>
      <c r="J41" s="55">
        <v>3.8</v>
      </c>
      <c r="K41" s="55">
        <v>3.8</v>
      </c>
      <c r="L41" s="55">
        <v>3.7</v>
      </c>
      <c r="M41" s="55">
        <v>3.7</v>
      </c>
      <c r="N41" s="55"/>
      <c r="O41" s="55">
        <v>3.7</v>
      </c>
      <c r="P41" s="55">
        <v>3.6</v>
      </c>
      <c r="Q41" s="55">
        <v>3.6</v>
      </c>
      <c r="R41" s="55">
        <v>3.7</v>
      </c>
      <c r="S41" s="55">
        <v>3.7</v>
      </c>
      <c r="T41" s="55">
        <v>3.6</v>
      </c>
      <c r="U41" s="55">
        <v>3.6</v>
      </c>
      <c r="V41" s="55">
        <v>3.6</v>
      </c>
      <c r="W41" s="55">
        <v>3.6</v>
      </c>
      <c r="X41">
        <v>3.6</v>
      </c>
      <c r="Y41">
        <v>3.6</v>
      </c>
      <c r="AB41">
        <v>4.5</v>
      </c>
      <c r="AC41">
        <v>4.5</v>
      </c>
      <c r="AF41">
        <v>3.7</v>
      </c>
      <c r="AG41">
        <v>3.7</v>
      </c>
      <c r="AH41">
        <v>3.8</v>
      </c>
      <c r="AI41">
        <v>3.8</v>
      </c>
      <c r="AJ41">
        <v>3.8</v>
      </c>
      <c r="AK41">
        <v>3.8</v>
      </c>
      <c r="AL41">
        <v>3.6</v>
      </c>
      <c r="AM41">
        <v>3.6</v>
      </c>
      <c r="AN41">
        <v>3.7</v>
      </c>
      <c r="AO41">
        <v>3.7</v>
      </c>
      <c r="AP41">
        <v>3.9</v>
      </c>
      <c r="AQ41">
        <v>3.9</v>
      </c>
    </row>
    <row r="42" spans="3:43" x14ac:dyDescent="0.25"/>
    <row r="43" spans="3:43" x14ac:dyDescent="0.25">
      <c r="C43" s="55" t="s">
        <v>271</v>
      </c>
      <c r="D43" s="55">
        <v>1.9</v>
      </c>
      <c r="E43" s="55">
        <v>1.9</v>
      </c>
      <c r="F43" s="55">
        <v>0.1</v>
      </c>
      <c r="G43" s="55">
        <v>0.1</v>
      </c>
      <c r="H43" s="55">
        <v>0.5</v>
      </c>
      <c r="I43" s="55">
        <v>0.5</v>
      </c>
      <c r="J43" s="55">
        <v>-0.5</v>
      </c>
      <c r="K43" s="55">
        <v>-0.5</v>
      </c>
      <c r="L43" s="55">
        <v>-0.5</v>
      </c>
      <c r="M43" s="55">
        <v>-0.5</v>
      </c>
      <c r="N43" s="55">
        <v>0.3</v>
      </c>
      <c r="O43" s="55">
        <v>0.3</v>
      </c>
      <c r="P43" s="55">
        <v>-0.2</v>
      </c>
      <c r="Q43" s="55">
        <v>-0.2</v>
      </c>
      <c r="R43" s="55">
        <v>-0.3</v>
      </c>
      <c r="S43" s="55">
        <v>-0.3</v>
      </c>
      <c r="T43" s="55">
        <v>-0.1</v>
      </c>
      <c r="U43" s="55">
        <v>-0.1</v>
      </c>
      <c r="V43" s="55">
        <v>0</v>
      </c>
      <c r="W43" s="55">
        <v>0</v>
      </c>
      <c r="X43">
        <v>0.3</v>
      </c>
      <c r="Y43">
        <v>0.3</v>
      </c>
      <c r="Z43">
        <v>0.7</v>
      </c>
      <c r="AA43">
        <v>0.7</v>
      </c>
      <c r="AB43">
        <v>0.5</v>
      </c>
      <c r="AC43">
        <v>0.5</v>
      </c>
      <c r="AD43">
        <v>0.3</v>
      </c>
      <c r="AE43">
        <v>0.4</v>
      </c>
      <c r="AF43">
        <v>0.2</v>
      </c>
      <c r="AG43">
        <v>0.2</v>
      </c>
      <c r="AH43">
        <v>0.2</v>
      </c>
      <c r="AI43">
        <v>0.2</v>
      </c>
      <c r="AJ43">
        <v>0.1</v>
      </c>
      <c r="AK43">
        <v>0.1</v>
      </c>
      <c r="AL43">
        <v>0.7</v>
      </c>
      <c r="AM43">
        <v>0.7</v>
      </c>
      <c r="AN43">
        <v>0.5</v>
      </c>
      <c r="AO43">
        <v>0.5</v>
      </c>
      <c r="AP43">
        <v>0</v>
      </c>
      <c r="AQ43">
        <v>0</v>
      </c>
    </row>
    <row r="44" spans="3:43" x14ac:dyDescent="0.25">
      <c r="C44" s="55" t="s">
        <v>148</v>
      </c>
      <c r="D44" s="55">
        <v>1.3</v>
      </c>
      <c r="E44" s="55">
        <v>1.3</v>
      </c>
      <c r="F44" s="55">
        <v>-0.6</v>
      </c>
      <c r="G44" s="55">
        <v>-0.6</v>
      </c>
      <c r="H44" s="55">
        <v>-0.3</v>
      </c>
      <c r="I44" s="55">
        <v>-0.3</v>
      </c>
      <c r="J44" s="55">
        <v>-1.2</v>
      </c>
      <c r="K44" s="55">
        <v>-1.2</v>
      </c>
      <c r="L44" s="55">
        <v>-1.4</v>
      </c>
      <c r="M44" s="55">
        <v>-1.4</v>
      </c>
      <c r="N44" s="55">
        <v>-1.4</v>
      </c>
      <c r="O44" s="55">
        <v>-1.4</v>
      </c>
      <c r="P44" s="55">
        <v>-0.9</v>
      </c>
      <c r="Q44" s="55">
        <v>-0.9</v>
      </c>
      <c r="R44" s="55">
        <v>-0.5</v>
      </c>
      <c r="S44" s="55">
        <v>-0.5</v>
      </c>
      <c r="T44" s="55">
        <v>-0.7</v>
      </c>
      <c r="U44" s="55">
        <v>-0.7</v>
      </c>
      <c r="V44" s="55">
        <v>-0.8</v>
      </c>
      <c r="W44" s="55">
        <v>-0.8</v>
      </c>
      <c r="X44">
        <v>-0.2</v>
      </c>
      <c r="Y44">
        <v>-0.2</v>
      </c>
      <c r="Z44">
        <v>0.3</v>
      </c>
      <c r="AA44">
        <v>0.3</v>
      </c>
      <c r="AB44">
        <v>0.1</v>
      </c>
      <c r="AC44">
        <v>0.1</v>
      </c>
      <c r="AD44">
        <v>-0.1</v>
      </c>
      <c r="AE44">
        <v>-0.1</v>
      </c>
      <c r="AF44">
        <v>-0.2</v>
      </c>
      <c r="AG44">
        <v>-0.2</v>
      </c>
      <c r="AH44">
        <v>0</v>
      </c>
      <c r="AI44">
        <v>0</v>
      </c>
      <c r="AJ44">
        <v>-0.1</v>
      </c>
      <c r="AK44">
        <v>-0.1</v>
      </c>
      <c r="AL44">
        <v>0.5</v>
      </c>
      <c r="AM44">
        <v>0.5</v>
      </c>
      <c r="AN44">
        <v>0.4</v>
      </c>
      <c r="AO44">
        <v>0.4</v>
      </c>
      <c r="AP44">
        <v>-0.2</v>
      </c>
      <c r="AQ44">
        <v>-0.2</v>
      </c>
    </row>
    <row r="45" spans="3:43" x14ac:dyDescent="0.25"/>
    <row r="46" spans="3:43" x14ac:dyDescent="0.25">
      <c r="C46" s="55" t="s">
        <v>272</v>
      </c>
      <c r="D46" s="55">
        <v>16.2</v>
      </c>
      <c r="E46" s="55">
        <v>16.2</v>
      </c>
      <c r="F46" s="55">
        <v>11.8</v>
      </c>
      <c r="G46" s="55">
        <v>11.8</v>
      </c>
      <c r="H46" s="55">
        <v>9.1</v>
      </c>
      <c r="I46" s="55">
        <v>9.1</v>
      </c>
      <c r="J46" s="55">
        <v>8.4</v>
      </c>
      <c r="K46" s="55">
        <v>8.4</v>
      </c>
      <c r="L46" s="55">
        <v>8.1</v>
      </c>
      <c r="M46" s="55">
        <v>8.1</v>
      </c>
      <c r="N46" s="55">
        <v>8.6999999999999993</v>
      </c>
      <c r="O46" s="55">
        <v>8.6999999999999993</v>
      </c>
      <c r="P46" s="55">
        <v>8.1999999999999993</v>
      </c>
      <c r="Q46" s="55">
        <v>8.1999999999999993</v>
      </c>
      <c r="R46" s="55">
        <v>7.8</v>
      </c>
      <c r="S46" s="55">
        <v>7.8</v>
      </c>
      <c r="T46" s="55">
        <v>6.3</v>
      </c>
      <c r="U46" s="55">
        <v>6.3</v>
      </c>
      <c r="V46" s="55">
        <v>5.4</v>
      </c>
      <c r="W46" s="55">
        <v>5.4</v>
      </c>
      <c r="X46">
        <v>5</v>
      </c>
      <c r="Y46">
        <v>5</v>
      </c>
      <c r="Z46">
        <v>6.3</v>
      </c>
      <c r="AA46">
        <v>6.3</v>
      </c>
      <c r="AB46">
        <v>5.3</v>
      </c>
      <c r="AC46">
        <v>5.3</v>
      </c>
      <c r="AD46">
        <v>5.4</v>
      </c>
      <c r="AE46">
        <v>5.4</v>
      </c>
      <c r="AF46">
        <v>5.3</v>
      </c>
      <c r="AG46">
        <v>5.3</v>
      </c>
      <c r="AH46">
        <v>5.8</v>
      </c>
      <c r="AI46">
        <v>5.8</v>
      </c>
      <c r="AJ46">
        <v>5.6</v>
      </c>
      <c r="AK46">
        <v>5.6</v>
      </c>
      <c r="AL46">
        <v>6.4</v>
      </c>
      <c r="AM46">
        <v>6.4</v>
      </c>
      <c r="AN46">
        <v>6.1</v>
      </c>
      <c r="AO46">
        <v>6.1</v>
      </c>
      <c r="AP46">
        <v>5.5</v>
      </c>
      <c r="AQ46">
        <v>5.5</v>
      </c>
    </row>
    <row r="47" spans="3:43" x14ac:dyDescent="0.25">
      <c r="C47" s="55" t="s">
        <v>273</v>
      </c>
      <c r="D47" s="55">
        <v>1.3</v>
      </c>
      <c r="E47" s="55">
        <v>1.3</v>
      </c>
      <c r="F47" s="55">
        <v>-0.6</v>
      </c>
      <c r="G47" s="55">
        <v>-0.6</v>
      </c>
      <c r="H47" s="55">
        <v>-0.3</v>
      </c>
      <c r="I47" s="55">
        <v>-0.3</v>
      </c>
      <c r="J47" s="55">
        <v>-1.2</v>
      </c>
      <c r="K47" s="55">
        <v>-1.2</v>
      </c>
      <c r="L47" s="55">
        <v>-1.4</v>
      </c>
      <c r="M47" s="55">
        <v>-1.4</v>
      </c>
      <c r="N47" s="55">
        <v>-1.4</v>
      </c>
      <c r="O47" s="55">
        <v>-1.4</v>
      </c>
      <c r="P47" s="55">
        <v>-0.9</v>
      </c>
      <c r="Q47" s="55">
        <v>-0.9</v>
      </c>
      <c r="R47" s="55">
        <v>-0.5</v>
      </c>
      <c r="S47" s="55">
        <v>-0.5</v>
      </c>
      <c r="T47" s="55">
        <v>-0.7</v>
      </c>
      <c r="U47" s="55">
        <v>-0.7</v>
      </c>
      <c r="V47" s="55">
        <v>-0.8</v>
      </c>
      <c r="W47" s="55">
        <v>-0.8</v>
      </c>
      <c r="X47">
        <v>-0.2</v>
      </c>
      <c r="Y47">
        <v>-0.2</v>
      </c>
      <c r="Z47">
        <v>0.4</v>
      </c>
      <c r="AA47">
        <v>0.4</v>
      </c>
      <c r="AD47">
        <v>0</v>
      </c>
      <c r="AE47">
        <v>0</v>
      </c>
    </row>
    <row r="48" spans="3:43" x14ac:dyDescent="0.25">
      <c r="C48" s="55" t="s">
        <v>274</v>
      </c>
      <c r="D48" s="55">
        <v>1.3</v>
      </c>
      <c r="E48" s="55">
        <v>1.3</v>
      </c>
      <c r="F48" s="55">
        <v>-0.6</v>
      </c>
      <c r="G48" s="55">
        <v>-0.6</v>
      </c>
      <c r="H48" s="55">
        <v>-0.3</v>
      </c>
      <c r="I48" s="55">
        <v>-0.3</v>
      </c>
      <c r="J48" s="55">
        <v>-1.2</v>
      </c>
      <c r="K48" s="55">
        <v>-1.2</v>
      </c>
      <c r="L48" s="55">
        <v>-1.4</v>
      </c>
      <c r="M48" s="55">
        <v>-1.4</v>
      </c>
      <c r="N48" s="55">
        <v>-1.4</v>
      </c>
      <c r="O48" s="55">
        <v>-1.4</v>
      </c>
      <c r="P48" s="55">
        <v>-0.9</v>
      </c>
      <c r="Q48" s="55">
        <v>-0.9</v>
      </c>
      <c r="R48" s="55">
        <v>-0.5</v>
      </c>
      <c r="S48" s="55">
        <v>-0.5</v>
      </c>
      <c r="T48" s="55">
        <v>-0.7</v>
      </c>
      <c r="U48" s="55">
        <v>-0.7</v>
      </c>
      <c r="V48" s="55">
        <v>-0.8</v>
      </c>
      <c r="W48" s="55">
        <v>-0.8</v>
      </c>
      <c r="X48">
        <v>-0.2</v>
      </c>
      <c r="Y48">
        <v>-0.2</v>
      </c>
      <c r="Z48">
        <v>0.3</v>
      </c>
      <c r="AA48">
        <v>0.3</v>
      </c>
      <c r="AB48">
        <v>0.1</v>
      </c>
      <c r="AC48">
        <v>0.1</v>
      </c>
      <c r="AD48">
        <v>-0.1</v>
      </c>
      <c r="AE48">
        <v>-0.1</v>
      </c>
      <c r="AF48">
        <v>-0.2</v>
      </c>
      <c r="AG48">
        <v>-0.2</v>
      </c>
      <c r="AH48">
        <v>0</v>
      </c>
      <c r="AI48">
        <v>0</v>
      </c>
      <c r="AJ48">
        <v>-0.1</v>
      </c>
      <c r="AK48">
        <v>-0.1</v>
      </c>
      <c r="AL48">
        <v>0.5</v>
      </c>
      <c r="AM48">
        <v>0.5</v>
      </c>
      <c r="AN48">
        <v>0.4</v>
      </c>
      <c r="AO48">
        <v>0.4</v>
      </c>
      <c r="AP48">
        <v>-0.2</v>
      </c>
      <c r="AQ48">
        <v>-0.2</v>
      </c>
    </row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</sheetData>
  <mergeCells count="2">
    <mergeCell ref="C2:E2"/>
    <mergeCell ref="C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C1:AQ99"/>
  <sheetViews>
    <sheetView showGridLines="0" workbookViewId="0">
      <pane xSplit="3" ySplit="10" topLeftCell="AJ12" activePane="bottomRight" state="frozen"/>
      <selection activeCell="W40" sqref="W40"/>
      <selection pane="topRight" activeCell="W40" sqref="W40"/>
      <selection pane="bottomLeft" activeCell="W40" sqref="W40"/>
      <selection pane="bottomRight" activeCell="AQ12" sqref="AQ12"/>
    </sheetView>
  </sheetViews>
  <sheetFormatPr defaultColWidth="15" defaultRowHeight="15" customHeight="1" x14ac:dyDescent="0.25"/>
  <cols>
    <col min="1" max="2" width="2" customWidth="1"/>
    <col min="3" max="3" width="25" customWidth="1"/>
  </cols>
  <sheetData>
    <row r="1" spans="3:43" ht="13.5" customHeight="1" x14ac:dyDescent="0.25"/>
    <row r="2" spans="3:43" ht="33" customHeight="1" x14ac:dyDescent="0.4">
      <c r="C2" s="72" t="s">
        <v>311</v>
      </c>
      <c r="D2" s="73"/>
      <c r="E2" s="73"/>
    </row>
    <row r="3" spans="3:43" x14ac:dyDescent="0.25">
      <c r="C3" s="53" t="s">
        <v>164</v>
      </c>
    </row>
    <row r="4" spans="3:43" x14ac:dyDescent="0.25"/>
    <row r="5" spans="3:43" x14ac:dyDescent="0.25"/>
    <row r="6" spans="3:43" x14ac:dyDescent="0.25">
      <c r="C6" s="74" t="s">
        <v>275</v>
      </c>
      <c r="D6" s="73"/>
      <c r="E6" s="54"/>
      <c r="F6" s="54"/>
      <c r="G6" s="54"/>
      <c r="H6" s="54"/>
      <c r="I6" s="54"/>
      <c r="J6" s="54"/>
      <c r="K6" s="54"/>
      <c r="L6" s="54"/>
    </row>
    <row r="7" spans="3:43" x14ac:dyDescent="0.25"/>
    <row r="8" spans="3:43" ht="33" customHeight="1" x14ac:dyDescent="0.25">
      <c r="C8" s="55"/>
      <c r="D8" s="55" t="s">
        <v>166</v>
      </c>
      <c r="E8" s="55" t="s">
        <v>167</v>
      </c>
      <c r="F8" s="55" t="s">
        <v>168</v>
      </c>
      <c r="G8" s="55" t="s">
        <v>169</v>
      </c>
      <c r="H8" s="55" t="s">
        <v>170</v>
      </c>
      <c r="I8" s="55" t="s">
        <v>171</v>
      </c>
      <c r="J8" s="55" t="s">
        <v>172</v>
      </c>
      <c r="K8" s="55" t="s">
        <v>173</v>
      </c>
      <c r="L8" s="55" t="s">
        <v>174</v>
      </c>
      <c r="M8" s="55" t="s">
        <v>175</v>
      </c>
      <c r="N8" s="55" t="s">
        <v>176</v>
      </c>
      <c r="O8" s="55" t="s">
        <v>177</v>
      </c>
      <c r="P8" s="55" t="s">
        <v>178</v>
      </c>
      <c r="Q8" s="55" t="s">
        <v>179</v>
      </c>
      <c r="R8" s="55" t="s">
        <v>180</v>
      </c>
      <c r="S8" s="55" t="s">
        <v>181</v>
      </c>
      <c r="T8" s="55" t="s">
        <v>182</v>
      </c>
      <c r="U8" s="55" t="s">
        <v>183</v>
      </c>
      <c r="V8" s="55" t="s">
        <v>184</v>
      </c>
      <c r="W8" s="55" t="s">
        <v>185</v>
      </c>
      <c r="X8" t="s">
        <v>186</v>
      </c>
      <c r="Y8" t="s">
        <v>187</v>
      </c>
      <c r="Z8" t="s">
        <v>188</v>
      </c>
      <c r="AA8" t="s">
        <v>189</v>
      </c>
      <c r="AB8" t="s">
        <v>190</v>
      </c>
      <c r="AC8" t="s">
        <v>191</v>
      </c>
      <c r="AD8" t="s">
        <v>192</v>
      </c>
      <c r="AE8" t="s">
        <v>193</v>
      </c>
      <c r="AF8" t="s">
        <v>194</v>
      </c>
      <c r="AG8" t="s">
        <v>195</v>
      </c>
      <c r="AH8" t="s">
        <v>196</v>
      </c>
      <c r="AI8" t="s">
        <v>197</v>
      </c>
      <c r="AJ8" t="s">
        <v>198</v>
      </c>
      <c r="AK8" t="s">
        <v>199</v>
      </c>
      <c r="AL8" t="s">
        <v>200</v>
      </c>
      <c r="AM8" t="s">
        <v>201</v>
      </c>
      <c r="AN8" t="s">
        <v>202</v>
      </c>
      <c r="AO8" t="s">
        <v>203</v>
      </c>
      <c r="AP8" t="s">
        <v>204</v>
      </c>
      <c r="AQ8" t="s">
        <v>205</v>
      </c>
    </row>
    <row r="9" spans="3:43" x14ac:dyDescent="0.25"/>
    <row r="10" spans="3:43" x14ac:dyDescent="0.25">
      <c r="C10" s="55" t="s">
        <v>206</v>
      </c>
      <c r="D10" s="55" t="s">
        <v>12</v>
      </c>
      <c r="E10" s="55" t="s">
        <v>13</v>
      </c>
      <c r="F10" s="55" t="s">
        <v>14</v>
      </c>
      <c r="G10" s="55" t="s">
        <v>15</v>
      </c>
      <c r="H10" s="55" t="s">
        <v>16</v>
      </c>
      <c r="I10" s="55" t="s">
        <v>17</v>
      </c>
      <c r="J10" s="55" t="s">
        <v>18</v>
      </c>
      <c r="K10" s="55" t="s">
        <v>19</v>
      </c>
      <c r="L10" s="55" t="s">
        <v>20</v>
      </c>
      <c r="M10" s="55" t="s">
        <v>21</v>
      </c>
      <c r="N10" s="55" t="s">
        <v>22</v>
      </c>
      <c r="O10" s="55" t="s">
        <v>23</v>
      </c>
      <c r="P10" s="55" t="s">
        <v>24</v>
      </c>
      <c r="Q10" s="55" t="s">
        <v>25</v>
      </c>
      <c r="R10" s="55" t="s">
        <v>26</v>
      </c>
      <c r="S10" s="55" t="s">
        <v>27</v>
      </c>
      <c r="T10" s="55" t="s">
        <v>28</v>
      </c>
      <c r="U10" s="55" t="s">
        <v>29</v>
      </c>
      <c r="V10" s="55" t="s">
        <v>30</v>
      </c>
      <c r="W10" s="55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</row>
    <row r="11" spans="3:43" x14ac:dyDescent="0.25"/>
    <row r="12" spans="3:43" x14ac:dyDescent="0.25">
      <c r="C12" s="55" t="s">
        <v>276</v>
      </c>
      <c r="D12" s="55">
        <v>8.4</v>
      </c>
      <c r="E12" s="55">
        <v>8.4</v>
      </c>
      <c r="F12" s="55">
        <v>15.6</v>
      </c>
      <c r="G12" s="55">
        <v>15.6</v>
      </c>
      <c r="H12" s="55">
        <v>10.199999999999999</v>
      </c>
      <c r="I12" s="55">
        <v>10.199999999999999</v>
      </c>
      <c r="J12" s="55">
        <v>7.6</v>
      </c>
      <c r="K12" s="55">
        <v>7.6</v>
      </c>
      <c r="L12" s="55">
        <v>9.4</v>
      </c>
      <c r="M12" s="55">
        <v>9.4</v>
      </c>
      <c r="N12" s="55">
        <v>11.6</v>
      </c>
      <c r="O12" s="55">
        <v>11.6</v>
      </c>
      <c r="P12" s="55"/>
      <c r="Q12" s="55"/>
      <c r="R12" s="55">
        <v>7.3</v>
      </c>
      <c r="S12" s="55">
        <v>7.3</v>
      </c>
      <c r="T12" s="55">
        <v>6.7</v>
      </c>
      <c r="U12" s="55">
        <v>6.7</v>
      </c>
      <c r="V12" s="55">
        <v>7.9</v>
      </c>
      <c r="W12" s="55">
        <v>7.9</v>
      </c>
      <c r="X12">
        <v>7.6</v>
      </c>
      <c r="Y12">
        <v>7.6</v>
      </c>
      <c r="AB12">
        <v>6.5</v>
      </c>
      <c r="AC12">
        <v>6.5</v>
      </c>
      <c r="AF12">
        <v>7</v>
      </c>
      <c r="AG12">
        <v>7</v>
      </c>
      <c r="AH12">
        <v>4.9000000000000004</v>
      </c>
      <c r="AI12">
        <v>4.9000000000000004</v>
      </c>
      <c r="AJ12">
        <v>4.5999999999999996</v>
      </c>
      <c r="AK12">
        <v>4.5999999999999996</v>
      </c>
      <c r="AL12">
        <v>4</v>
      </c>
      <c r="AM12">
        <v>4</v>
      </c>
      <c r="AN12">
        <v>5</v>
      </c>
      <c r="AO12">
        <v>5</v>
      </c>
      <c r="AP12">
        <v>4.3</v>
      </c>
      <c r="AQ12">
        <v>4.3</v>
      </c>
    </row>
    <row r="13" spans="3:43" x14ac:dyDescent="0.25">
      <c r="C13" s="55" t="s">
        <v>277</v>
      </c>
      <c r="D13" s="55">
        <v>12</v>
      </c>
      <c r="E13" s="55">
        <v>12</v>
      </c>
      <c r="F13" s="55">
        <v>5</v>
      </c>
      <c r="G13" s="55">
        <v>5</v>
      </c>
      <c r="H13" s="55">
        <v>10</v>
      </c>
      <c r="I13" s="55">
        <v>10</v>
      </c>
      <c r="J13" s="55">
        <v>10</v>
      </c>
      <c r="K13" s="55">
        <v>10</v>
      </c>
      <c r="L13" s="55">
        <v>9</v>
      </c>
      <c r="M13" s="55">
        <v>9</v>
      </c>
      <c r="N13" s="55">
        <v>4</v>
      </c>
      <c r="O13" s="55">
        <v>4</v>
      </c>
      <c r="P13" s="55"/>
      <c r="Q13" s="55"/>
      <c r="R13" s="55">
        <v>9</v>
      </c>
      <c r="S13" s="55">
        <v>9</v>
      </c>
      <c r="T13" s="55">
        <v>10.6</v>
      </c>
      <c r="U13" s="55">
        <v>10.6</v>
      </c>
      <c r="V13" s="55">
        <v>10.6</v>
      </c>
      <c r="W13" s="55">
        <v>10.6</v>
      </c>
      <c r="X13">
        <v>10.6</v>
      </c>
      <c r="Y13">
        <v>10.6</v>
      </c>
      <c r="AB13">
        <v>12.1</v>
      </c>
      <c r="AC13">
        <v>12.1</v>
      </c>
      <c r="AF13">
        <v>12.6</v>
      </c>
      <c r="AG13">
        <v>12.6</v>
      </c>
      <c r="AH13">
        <v>15.7</v>
      </c>
      <c r="AI13">
        <v>15.7</v>
      </c>
      <c r="AJ13">
        <v>17.2</v>
      </c>
      <c r="AK13">
        <v>17.2</v>
      </c>
      <c r="AL13">
        <v>19</v>
      </c>
      <c r="AM13">
        <v>19</v>
      </c>
      <c r="AN13">
        <v>19.100000000000001</v>
      </c>
      <c r="AO13">
        <v>19.100000000000001</v>
      </c>
      <c r="AP13">
        <v>20.9</v>
      </c>
      <c r="AQ13">
        <v>20.9</v>
      </c>
    </row>
    <row r="14" spans="3:43" x14ac:dyDescent="0.25">
      <c r="C14" s="55" t="s">
        <v>278</v>
      </c>
      <c r="D14" s="55">
        <v>12.8</v>
      </c>
      <c r="E14" s="55">
        <v>12.8</v>
      </c>
      <c r="F14" s="55">
        <v>9</v>
      </c>
      <c r="G14" s="55">
        <v>9</v>
      </c>
      <c r="H14" s="55">
        <v>8.1999999999999993</v>
      </c>
      <c r="I14" s="55">
        <v>8.1999999999999993</v>
      </c>
      <c r="J14" s="55">
        <v>7.8</v>
      </c>
      <c r="K14" s="55">
        <v>7.8</v>
      </c>
      <c r="L14" s="55">
        <v>7.2</v>
      </c>
      <c r="M14" s="55">
        <v>7.2</v>
      </c>
      <c r="N14" s="55">
        <v>7.3</v>
      </c>
      <c r="O14" s="55">
        <v>7.3</v>
      </c>
      <c r="P14" s="55"/>
      <c r="Q14" s="55"/>
      <c r="R14" s="55">
        <v>6</v>
      </c>
      <c r="S14" s="55">
        <v>6</v>
      </c>
      <c r="T14" s="55">
        <v>5.7</v>
      </c>
      <c r="U14" s="55">
        <v>5.7</v>
      </c>
      <c r="V14" s="55">
        <v>4.5999999999999996</v>
      </c>
      <c r="W14" s="55">
        <v>4.5999999999999996</v>
      </c>
      <c r="X14">
        <v>5.2</v>
      </c>
      <c r="Y14">
        <v>5.2</v>
      </c>
      <c r="AB14">
        <v>4.9000000000000004</v>
      </c>
      <c r="AC14">
        <v>4.9000000000000004</v>
      </c>
      <c r="AF14">
        <v>4.8</v>
      </c>
      <c r="AG14">
        <v>4.8</v>
      </c>
      <c r="AH14">
        <v>4.5999999999999996</v>
      </c>
      <c r="AI14">
        <v>4.5999999999999996</v>
      </c>
      <c r="AJ14">
        <v>4.2</v>
      </c>
      <c r="AK14">
        <v>4.2</v>
      </c>
      <c r="AL14">
        <v>5.0999999999999996</v>
      </c>
      <c r="AM14">
        <v>5.0999999999999996</v>
      </c>
      <c r="AN14">
        <v>4.7</v>
      </c>
      <c r="AO14">
        <v>4.7</v>
      </c>
      <c r="AP14">
        <v>4.0999999999999996</v>
      </c>
      <c r="AQ14">
        <v>4.0999999999999996</v>
      </c>
    </row>
    <row r="15" spans="3:43" x14ac:dyDescent="0.25">
      <c r="C15" s="55" t="s">
        <v>54</v>
      </c>
      <c r="D15" s="55">
        <v>9</v>
      </c>
      <c r="E15" s="55">
        <v>9</v>
      </c>
      <c r="F15" s="55">
        <v>7</v>
      </c>
      <c r="G15" s="55">
        <v>7</v>
      </c>
      <c r="H15" s="55">
        <v>7.6</v>
      </c>
      <c r="I15" s="55">
        <v>7.6</v>
      </c>
      <c r="J15" s="55">
        <v>7.2</v>
      </c>
      <c r="K15" s="55">
        <v>7.2</v>
      </c>
      <c r="L15" s="55">
        <v>6.9</v>
      </c>
      <c r="M15" s="55">
        <v>6.9</v>
      </c>
      <c r="N15" s="55">
        <v>6.8</v>
      </c>
      <c r="O15" s="55">
        <v>6.8</v>
      </c>
      <c r="P15" s="55"/>
      <c r="Q15" s="55"/>
      <c r="R15" s="55">
        <v>5.5</v>
      </c>
      <c r="S15" s="55">
        <v>5.5</v>
      </c>
      <c r="T15" s="55">
        <v>4.9000000000000004</v>
      </c>
      <c r="U15" s="55">
        <v>4.9000000000000004</v>
      </c>
      <c r="V15" s="55">
        <v>4.0999999999999996</v>
      </c>
      <c r="W15" s="55">
        <v>4.0999999999999996</v>
      </c>
      <c r="X15">
        <v>3.9</v>
      </c>
      <c r="Y15">
        <v>3.9</v>
      </c>
      <c r="AB15">
        <v>5.0999999999999996</v>
      </c>
      <c r="AC15">
        <v>5.0999999999999996</v>
      </c>
      <c r="AF15">
        <v>5.6</v>
      </c>
      <c r="AG15">
        <v>5.6</v>
      </c>
      <c r="AH15">
        <v>4.5999999999999996</v>
      </c>
      <c r="AI15">
        <v>4.5999999999999996</v>
      </c>
      <c r="AJ15">
        <v>4.5</v>
      </c>
      <c r="AK15">
        <v>4.5</v>
      </c>
      <c r="AL15">
        <v>4.2</v>
      </c>
      <c r="AM15">
        <v>4.2</v>
      </c>
      <c r="AN15">
        <v>4.2</v>
      </c>
      <c r="AO15">
        <v>4.2</v>
      </c>
      <c r="AP15">
        <v>4</v>
      </c>
      <c r="AQ15">
        <v>4</v>
      </c>
    </row>
    <row r="16" spans="3:43" x14ac:dyDescent="0.25">
      <c r="C16" s="55" t="s">
        <v>279</v>
      </c>
      <c r="D16" s="55">
        <v>0.2</v>
      </c>
      <c r="E16" s="55">
        <v>0.2</v>
      </c>
      <c r="F16" s="55">
        <v>0.2</v>
      </c>
      <c r="G16" s="55">
        <v>0.2</v>
      </c>
      <c r="H16" s="55">
        <v>0.1</v>
      </c>
      <c r="I16" s="55">
        <v>0.1</v>
      </c>
      <c r="J16" s="55">
        <v>0.2</v>
      </c>
      <c r="K16" s="55">
        <v>0.2</v>
      </c>
      <c r="L16" s="55">
        <v>0.2</v>
      </c>
      <c r="M16" s="55">
        <v>0.2</v>
      </c>
      <c r="N16" s="55">
        <v>0.1</v>
      </c>
      <c r="O16" s="55">
        <v>0.1</v>
      </c>
      <c r="P16" s="55"/>
      <c r="Q16" s="55"/>
      <c r="R16" s="55">
        <v>0.1</v>
      </c>
      <c r="S16" s="55">
        <v>0.1</v>
      </c>
      <c r="T16" s="55">
        <v>0.1</v>
      </c>
      <c r="U16" s="55">
        <v>0.1</v>
      </c>
      <c r="V16" s="55">
        <v>0</v>
      </c>
      <c r="W16" s="55">
        <v>0</v>
      </c>
      <c r="X16">
        <v>0</v>
      </c>
      <c r="Y16">
        <v>0</v>
      </c>
      <c r="AB16">
        <v>0.1</v>
      </c>
      <c r="AC16">
        <v>0.1</v>
      </c>
    </row>
    <row r="17" spans="3:43" x14ac:dyDescent="0.25">
      <c r="C17" s="55" t="s">
        <v>280</v>
      </c>
      <c r="D17" s="55">
        <v>3.3</v>
      </c>
      <c r="E17" s="55">
        <v>3.3</v>
      </c>
      <c r="F17" s="55">
        <v>4.3</v>
      </c>
      <c r="G17" s="55">
        <v>4.3</v>
      </c>
      <c r="H17" s="55">
        <v>4.5</v>
      </c>
      <c r="I17" s="55">
        <v>4.5</v>
      </c>
      <c r="J17" s="55">
        <v>4.0999999999999996</v>
      </c>
      <c r="K17" s="55">
        <v>4.0999999999999996</v>
      </c>
      <c r="L17" s="55">
        <v>3.8</v>
      </c>
      <c r="M17" s="55">
        <v>3.8</v>
      </c>
      <c r="N17" s="55">
        <v>3.6</v>
      </c>
      <c r="O17" s="55">
        <v>3.6</v>
      </c>
      <c r="P17" s="55">
        <v>0</v>
      </c>
      <c r="Q17" s="55">
        <v>0</v>
      </c>
      <c r="R17" s="55">
        <v>2.8</v>
      </c>
      <c r="S17" s="55">
        <v>2.8</v>
      </c>
      <c r="T17" s="55">
        <v>2.5</v>
      </c>
      <c r="U17" s="55">
        <v>2.5</v>
      </c>
      <c r="V17" s="55">
        <v>1.3</v>
      </c>
      <c r="W17" s="55">
        <v>1.3</v>
      </c>
      <c r="X17">
        <v>1.2</v>
      </c>
      <c r="Y17">
        <v>1.2</v>
      </c>
      <c r="Z17">
        <v>0</v>
      </c>
      <c r="AA17">
        <v>0</v>
      </c>
      <c r="AB17">
        <v>1.5</v>
      </c>
      <c r="AC17">
        <v>1.5</v>
      </c>
      <c r="AD17">
        <v>0</v>
      </c>
      <c r="AE17">
        <v>0</v>
      </c>
      <c r="AF17">
        <v>2.1</v>
      </c>
      <c r="AG17">
        <v>2.1</v>
      </c>
      <c r="AH17">
        <v>1.8</v>
      </c>
      <c r="AI17">
        <v>1.8</v>
      </c>
      <c r="AJ17">
        <v>1.8</v>
      </c>
      <c r="AK17">
        <v>1.8</v>
      </c>
      <c r="AL17">
        <v>1.8</v>
      </c>
      <c r="AM17">
        <v>1.8</v>
      </c>
      <c r="AN17">
        <v>1.4</v>
      </c>
      <c r="AO17">
        <v>1.4</v>
      </c>
      <c r="AP17">
        <v>1.4</v>
      </c>
      <c r="AQ17">
        <v>1.4</v>
      </c>
    </row>
    <row r="18" spans="3:43" x14ac:dyDescent="0.25">
      <c r="C18" s="55" t="s">
        <v>281</v>
      </c>
      <c r="D18" s="55">
        <v>45.6</v>
      </c>
      <c r="E18" s="55">
        <v>45.6</v>
      </c>
      <c r="F18" s="55">
        <v>41.1</v>
      </c>
      <c r="G18" s="55">
        <v>41.1</v>
      </c>
      <c r="H18" s="55">
        <v>40.5</v>
      </c>
      <c r="I18" s="55">
        <v>40.5</v>
      </c>
      <c r="J18" s="55">
        <v>36.700000000000003</v>
      </c>
      <c r="K18" s="55">
        <v>36.700000000000003</v>
      </c>
      <c r="L18" s="55">
        <v>36.6</v>
      </c>
      <c r="M18" s="55">
        <v>36.6</v>
      </c>
      <c r="N18" s="55">
        <v>33.4</v>
      </c>
      <c r="O18" s="55">
        <v>33.4</v>
      </c>
      <c r="P18" s="55"/>
      <c r="Q18" s="55"/>
      <c r="R18" s="55">
        <v>30.6</v>
      </c>
      <c r="S18" s="55">
        <v>30.6</v>
      </c>
      <c r="T18" s="55">
        <v>30.4</v>
      </c>
      <c r="U18" s="55">
        <v>30.4</v>
      </c>
      <c r="V18" s="55">
        <v>28.5</v>
      </c>
      <c r="W18" s="55">
        <v>28.5</v>
      </c>
      <c r="X18">
        <v>28.6</v>
      </c>
      <c r="Y18">
        <v>28.6</v>
      </c>
      <c r="AB18">
        <v>30.1</v>
      </c>
      <c r="AC18">
        <v>30.1</v>
      </c>
      <c r="AF18">
        <v>32.1</v>
      </c>
      <c r="AG18">
        <v>32.1</v>
      </c>
      <c r="AH18">
        <v>31.6</v>
      </c>
      <c r="AI18">
        <v>31.6</v>
      </c>
      <c r="AJ18">
        <v>32.299999999999997</v>
      </c>
      <c r="AK18">
        <v>32.299999999999997</v>
      </c>
      <c r="AL18">
        <v>34</v>
      </c>
      <c r="AM18">
        <v>34</v>
      </c>
      <c r="AN18">
        <v>34.4</v>
      </c>
      <c r="AO18">
        <v>34.4</v>
      </c>
      <c r="AP18">
        <v>34.700000000000003</v>
      </c>
      <c r="AQ18">
        <v>34.700000000000003</v>
      </c>
    </row>
    <row r="19" spans="3:43" x14ac:dyDescent="0.25"/>
    <row r="20" spans="3:43" x14ac:dyDescent="0.25">
      <c r="C20" s="55" t="s">
        <v>282</v>
      </c>
      <c r="D20" s="55">
        <v>21</v>
      </c>
      <c r="E20" s="55">
        <v>21</v>
      </c>
      <c r="F20" s="55">
        <v>21.9</v>
      </c>
      <c r="G20" s="55">
        <v>21.9</v>
      </c>
      <c r="H20" s="55">
        <v>22.4</v>
      </c>
      <c r="I20" s="55">
        <v>22.4</v>
      </c>
      <c r="J20" s="55">
        <v>22.7</v>
      </c>
      <c r="K20" s="55">
        <v>22.7</v>
      </c>
      <c r="L20" s="55">
        <v>21</v>
      </c>
      <c r="M20" s="55">
        <v>21</v>
      </c>
      <c r="N20" s="55">
        <v>17.7</v>
      </c>
      <c r="O20" s="55">
        <v>17.7</v>
      </c>
      <c r="P20" s="55"/>
      <c r="Q20" s="55"/>
      <c r="R20" s="55">
        <v>15.7</v>
      </c>
      <c r="S20" s="55">
        <v>15.7</v>
      </c>
      <c r="T20" s="55">
        <v>13.3</v>
      </c>
      <c r="U20" s="55">
        <v>13.3</v>
      </c>
      <c r="V20" s="55">
        <v>12</v>
      </c>
      <c r="W20" s="55">
        <v>12</v>
      </c>
      <c r="X20">
        <v>11</v>
      </c>
      <c r="Y20">
        <v>11</v>
      </c>
      <c r="AB20">
        <v>9.8000000000000007</v>
      </c>
      <c r="AC20">
        <v>9.8000000000000007</v>
      </c>
      <c r="AF20">
        <v>8.4</v>
      </c>
      <c r="AG20">
        <v>8.4</v>
      </c>
      <c r="AH20">
        <v>8.1</v>
      </c>
      <c r="AI20">
        <v>8.1</v>
      </c>
      <c r="AJ20">
        <v>7.8</v>
      </c>
      <c r="AK20">
        <v>7.8</v>
      </c>
      <c r="AL20">
        <v>7.8</v>
      </c>
      <c r="AM20">
        <v>7.8</v>
      </c>
      <c r="AN20">
        <v>7.5</v>
      </c>
      <c r="AO20">
        <v>7.5</v>
      </c>
      <c r="AP20">
        <v>7.2</v>
      </c>
      <c r="AQ20">
        <v>7.2</v>
      </c>
    </row>
    <row r="21" spans="3:43" x14ac:dyDescent="0.25">
      <c r="C21" s="55" t="s">
        <v>283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 spans="3:43" x14ac:dyDescent="0.25">
      <c r="C22" s="55" t="s">
        <v>284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 spans="3:43" x14ac:dyDescent="0.25">
      <c r="C23" s="55" t="s">
        <v>285</v>
      </c>
      <c r="D23" s="55">
        <v>0.1</v>
      </c>
      <c r="E23" s="55">
        <v>0.1</v>
      </c>
      <c r="F23" s="55">
        <v>0.1</v>
      </c>
      <c r="G23" s="55">
        <v>0.1</v>
      </c>
      <c r="H23" s="55">
        <v>0.1</v>
      </c>
      <c r="I23" s="55">
        <v>0.1</v>
      </c>
      <c r="J23" s="55">
        <v>0.1</v>
      </c>
      <c r="K23" s="55">
        <v>0.1</v>
      </c>
      <c r="L23" s="55">
        <v>0.3</v>
      </c>
      <c r="M23" s="55">
        <v>0.3</v>
      </c>
      <c r="N23" s="55">
        <v>0.3</v>
      </c>
      <c r="O23" s="55">
        <v>0.3</v>
      </c>
      <c r="P23" s="55"/>
      <c r="Q23" s="55"/>
      <c r="R23" s="55">
        <v>0.2</v>
      </c>
      <c r="S23" s="55">
        <v>0.2</v>
      </c>
      <c r="T23" s="55">
        <v>0.1</v>
      </c>
      <c r="U23" s="55">
        <v>0.1</v>
      </c>
      <c r="V23" s="55">
        <v>0.1</v>
      </c>
      <c r="W23" s="55">
        <v>0.1</v>
      </c>
      <c r="X23">
        <v>0.1</v>
      </c>
      <c r="Y23">
        <v>0.1</v>
      </c>
    </row>
    <row r="24" spans="3:43" x14ac:dyDescent="0.25">
      <c r="C24" s="55" t="s">
        <v>286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/>
      <c r="Q24" s="55"/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>
        <v>0</v>
      </c>
      <c r="Y24">
        <v>0</v>
      </c>
      <c r="AB24">
        <v>0</v>
      </c>
      <c r="AC24">
        <v>0</v>
      </c>
      <c r="AH24">
        <v>0</v>
      </c>
      <c r="AI24">
        <v>0</v>
      </c>
      <c r="AL24">
        <v>0</v>
      </c>
      <c r="AM24">
        <v>0</v>
      </c>
      <c r="AP24">
        <v>0</v>
      </c>
      <c r="AQ24">
        <v>0</v>
      </c>
    </row>
    <row r="25" spans="3:43" x14ac:dyDescent="0.25">
      <c r="C25" s="55" t="s">
        <v>287</v>
      </c>
      <c r="D25" s="55">
        <v>0.2</v>
      </c>
      <c r="E25" s="55">
        <v>0.2</v>
      </c>
      <c r="F25" s="55">
        <v>0.2</v>
      </c>
      <c r="G25" s="55">
        <v>0.2</v>
      </c>
      <c r="H25" s="55">
        <v>0.2</v>
      </c>
      <c r="I25" s="55">
        <v>0.2</v>
      </c>
      <c r="J25" s="55">
        <v>0.6</v>
      </c>
      <c r="K25" s="55">
        <v>0.6</v>
      </c>
      <c r="L25" s="55">
        <v>1</v>
      </c>
      <c r="M25" s="55">
        <v>1</v>
      </c>
      <c r="N25" s="55">
        <v>0.7</v>
      </c>
      <c r="O25" s="55">
        <v>0.7</v>
      </c>
      <c r="P25" s="55"/>
      <c r="Q25" s="55"/>
      <c r="R25" s="55">
        <v>0.5</v>
      </c>
      <c r="S25" s="55">
        <v>0.5</v>
      </c>
      <c r="T25" s="55">
        <v>0.3</v>
      </c>
      <c r="U25" s="55">
        <v>0.3</v>
      </c>
      <c r="V25" s="55">
        <v>0.1</v>
      </c>
      <c r="W25" s="55">
        <v>0.1</v>
      </c>
      <c r="X25">
        <v>0.1</v>
      </c>
      <c r="Y25">
        <v>0.1</v>
      </c>
      <c r="AB25">
        <v>0</v>
      </c>
      <c r="AC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3:43" x14ac:dyDescent="0.25">
      <c r="C26" s="55" t="s">
        <v>288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>
        <v>0</v>
      </c>
      <c r="Y26">
        <v>0</v>
      </c>
      <c r="Z26">
        <v>0</v>
      </c>
      <c r="AA26">
        <v>0</v>
      </c>
      <c r="AB26">
        <v>0.1</v>
      </c>
      <c r="AC26">
        <v>0.1</v>
      </c>
      <c r="AD26">
        <v>0</v>
      </c>
      <c r="AE26">
        <v>0</v>
      </c>
      <c r="AF26">
        <v>0.1</v>
      </c>
      <c r="AG26">
        <v>0.1</v>
      </c>
      <c r="AH26">
        <v>0.1</v>
      </c>
      <c r="AI26">
        <v>0.1</v>
      </c>
      <c r="AJ26">
        <v>0.1</v>
      </c>
      <c r="AK26">
        <v>0.1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</row>
    <row r="27" spans="3:43" x14ac:dyDescent="0.25">
      <c r="C27" s="55" t="s">
        <v>57</v>
      </c>
      <c r="D27" s="55">
        <v>66.900000000000006</v>
      </c>
      <c r="E27" s="55">
        <v>66.900000000000006</v>
      </c>
      <c r="F27" s="55">
        <v>63.3</v>
      </c>
      <c r="G27" s="55">
        <v>63.3</v>
      </c>
      <c r="H27" s="55">
        <v>63.2</v>
      </c>
      <c r="I27" s="55">
        <v>63.2</v>
      </c>
      <c r="J27" s="55">
        <v>60.1</v>
      </c>
      <c r="K27" s="55">
        <v>60.1</v>
      </c>
      <c r="L27" s="55">
        <v>58.9</v>
      </c>
      <c r="M27" s="55">
        <v>58.9</v>
      </c>
      <c r="N27" s="55">
        <v>52</v>
      </c>
      <c r="O27" s="55">
        <v>52</v>
      </c>
      <c r="P27" s="55"/>
      <c r="Q27" s="55"/>
      <c r="R27" s="55">
        <v>47.1</v>
      </c>
      <c r="S27" s="55">
        <v>47.1</v>
      </c>
      <c r="T27" s="55">
        <v>44.2</v>
      </c>
      <c r="U27" s="55">
        <v>44.2</v>
      </c>
      <c r="V27" s="55">
        <v>40.799999999999997</v>
      </c>
      <c r="W27" s="55">
        <v>40.799999999999997</v>
      </c>
      <c r="X27">
        <v>39.700000000000003</v>
      </c>
      <c r="Y27">
        <v>39.700000000000003</v>
      </c>
      <c r="AB27">
        <v>40</v>
      </c>
      <c r="AC27">
        <v>40</v>
      </c>
      <c r="AF27">
        <v>40.700000000000003</v>
      </c>
      <c r="AG27">
        <v>40.700000000000003</v>
      </c>
      <c r="AH27">
        <v>39.799999999999997</v>
      </c>
      <c r="AI27">
        <v>39.799999999999997</v>
      </c>
      <c r="AJ27">
        <v>40.200000000000003</v>
      </c>
      <c r="AK27">
        <v>40.200000000000003</v>
      </c>
      <c r="AL27">
        <v>41.9</v>
      </c>
      <c r="AM27">
        <v>41.9</v>
      </c>
      <c r="AN27">
        <v>42</v>
      </c>
      <c r="AO27">
        <v>42</v>
      </c>
      <c r="AP27">
        <v>42</v>
      </c>
      <c r="AQ27">
        <v>42</v>
      </c>
    </row>
    <row r="28" spans="3:43" x14ac:dyDescent="0.25"/>
    <row r="29" spans="3:43" x14ac:dyDescent="0.25">
      <c r="C29" s="55" t="s">
        <v>289</v>
      </c>
      <c r="D29" s="55">
        <v>6.2</v>
      </c>
      <c r="E29" s="55">
        <v>6.2</v>
      </c>
      <c r="F29" s="55">
        <v>4.0999999999999996</v>
      </c>
      <c r="G29" s="55">
        <v>4.0999999999999996</v>
      </c>
      <c r="H29" s="55">
        <v>3.1</v>
      </c>
      <c r="I29" s="55">
        <v>3.1</v>
      </c>
      <c r="J29" s="55">
        <v>3.1</v>
      </c>
      <c r="K29" s="55">
        <v>3.1</v>
      </c>
      <c r="L29" s="55">
        <v>3.6</v>
      </c>
      <c r="M29" s="55">
        <v>3.6</v>
      </c>
      <c r="N29" s="55">
        <v>2.8</v>
      </c>
      <c r="O29" s="55">
        <v>2.8</v>
      </c>
      <c r="P29" s="55"/>
      <c r="Q29" s="55"/>
      <c r="R29" s="55">
        <v>2.2000000000000002</v>
      </c>
      <c r="S29" s="55">
        <v>2.2000000000000002</v>
      </c>
      <c r="T29" s="55">
        <v>2</v>
      </c>
      <c r="U29" s="55">
        <v>2</v>
      </c>
      <c r="V29" s="55">
        <v>1.6</v>
      </c>
      <c r="W29" s="55">
        <v>1.6</v>
      </c>
      <c r="X29">
        <v>1.9</v>
      </c>
      <c r="Y29">
        <v>1.9</v>
      </c>
      <c r="AB29">
        <v>2.1</v>
      </c>
      <c r="AC29">
        <v>2.1</v>
      </c>
      <c r="AF29">
        <v>2</v>
      </c>
      <c r="AG29">
        <v>2</v>
      </c>
      <c r="AH29">
        <v>1.9</v>
      </c>
      <c r="AI29">
        <v>1.9</v>
      </c>
      <c r="AJ29">
        <v>2</v>
      </c>
      <c r="AK29">
        <v>2</v>
      </c>
      <c r="AL29">
        <v>2.2999999999999998</v>
      </c>
      <c r="AM29">
        <v>2.2999999999999998</v>
      </c>
      <c r="AN29">
        <v>1.9</v>
      </c>
      <c r="AO29">
        <v>1.9</v>
      </c>
      <c r="AP29">
        <v>1.7</v>
      </c>
      <c r="AQ29">
        <v>1.7</v>
      </c>
    </row>
    <row r="30" spans="3:43" x14ac:dyDescent="0.25">
      <c r="C30" s="55" t="s">
        <v>290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 spans="3:43" x14ac:dyDescent="0.25">
      <c r="C31" s="55" t="s">
        <v>291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 spans="3:43" x14ac:dyDescent="0.25">
      <c r="C32" s="55" t="s">
        <v>292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 spans="3:43" x14ac:dyDescent="0.25">
      <c r="C33" s="55" t="s">
        <v>293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 spans="3:43" x14ac:dyDescent="0.25">
      <c r="C34" s="55" t="s">
        <v>294</v>
      </c>
      <c r="D34" s="55">
        <v>4.2</v>
      </c>
      <c r="E34" s="55">
        <v>4.2</v>
      </c>
      <c r="F34" s="55">
        <v>3</v>
      </c>
      <c r="G34" s="55">
        <v>3</v>
      </c>
      <c r="H34" s="55">
        <v>3.1</v>
      </c>
      <c r="I34" s="55">
        <v>3.1</v>
      </c>
      <c r="J34" s="55">
        <v>2.1</v>
      </c>
      <c r="K34" s="55">
        <v>2.1</v>
      </c>
      <c r="L34" s="55">
        <v>1.8</v>
      </c>
      <c r="M34" s="55">
        <v>1.8</v>
      </c>
      <c r="N34" s="55">
        <v>2.2999999999999998</v>
      </c>
      <c r="O34" s="55">
        <v>2.2999999999999998</v>
      </c>
      <c r="P34" s="55">
        <v>0</v>
      </c>
      <c r="Q34" s="55">
        <v>0</v>
      </c>
      <c r="R34" s="55">
        <v>1.8</v>
      </c>
      <c r="S34" s="55">
        <v>1.8</v>
      </c>
      <c r="T34" s="55">
        <v>1.7</v>
      </c>
      <c r="U34" s="55">
        <v>1.7</v>
      </c>
      <c r="V34" s="55">
        <v>1.3</v>
      </c>
      <c r="W34" s="55">
        <v>1.3</v>
      </c>
      <c r="X34">
        <v>1.6</v>
      </c>
      <c r="Y34">
        <v>1.6</v>
      </c>
      <c r="Z34">
        <v>0</v>
      </c>
      <c r="AA34">
        <v>0</v>
      </c>
      <c r="AB34">
        <v>1.3</v>
      </c>
      <c r="AC34">
        <v>1.3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3:43" x14ac:dyDescent="0.25">
      <c r="C35" s="55" t="s">
        <v>295</v>
      </c>
      <c r="D35" s="55">
        <v>10.4</v>
      </c>
      <c r="E35" s="55">
        <v>10.4</v>
      </c>
      <c r="F35" s="55">
        <v>7</v>
      </c>
      <c r="G35" s="55">
        <v>7</v>
      </c>
      <c r="H35" s="55">
        <v>6.2</v>
      </c>
      <c r="I35" s="55">
        <v>6.2</v>
      </c>
      <c r="J35" s="55">
        <v>5.2</v>
      </c>
      <c r="K35" s="55">
        <v>5.2</v>
      </c>
      <c r="L35" s="55">
        <v>5.4</v>
      </c>
      <c r="M35" s="55">
        <v>5.4</v>
      </c>
      <c r="N35" s="55">
        <v>5.0999999999999996</v>
      </c>
      <c r="O35" s="55">
        <v>5.0999999999999996</v>
      </c>
      <c r="P35" s="55"/>
      <c r="Q35" s="55"/>
      <c r="R35" s="55">
        <v>4</v>
      </c>
      <c r="S35" s="55">
        <v>4</v>
      </c>
      <c r="T35" s="55">
        <v>3.6</v>
      </c>
      <c r="U35" s="55">
        <v>3.6</v>
      </c>
      <c r="V35" s="55">
        <v>2.9</v>
      </c>
      <c r="W35" s="55">
        <v>2.9</v>
      </c>
      <c r="X35">
        <v>3.5</v>
      </c>
      <c r="Y35">
        <v>3.5</v>
      </c>
      <c r="AB35">
        <v>3.4</v>
      </c>
      <c r="AC35">
        <v>3.4</v>
      </c>
      <c r="AF35">
        <v>2</v>
      </c>
      <c r="AG35">
        <v>2</v>
      </c>
      <c r="AH35">
        <v>1.9</v>
      </c>
      <c r="AI35">
        <v>1.9</v>
      </c>
      <c r="AJ35">
        <v>2</v>
      </c>
      <c r="AK35">
        <v>2</v>
      </c>
      <c r="AL35">
        <v>2.2999999999999998</v>
      </c>
      <c r="AM35">
        <v>2.2999999999999998</v>
      </c>
      <c r="AN35">
        <v>1.9</v>
      </c>
      <c r="AO35">
        <v>1.9</v>
      </c>
      <c r="AP35">
        <v>1.7</v>
      </c>
      <c r="AQ35">
        <v>1.7</v>
      </c>
    </row>
    <row r="36" spans="3:43" x14ac:dyDescent="0.25"/>
    <row r="37" spans="3:43" x14ac:dyDescent="0.25">
      <c r="C37" s="55" t="s">
        <v>296</v>
      </c>
      <c r="D37" s="55">
        <v>0</v>
      </c>
      <c r="E37" s="55">
        <v>0</v>
      </c>
      <c r="F37" s="55">
        <v>0</v>
      </c>
      <c r="G37" s="55">
        <v>0</v>
      </c>
      <c r="H37" s="55">
        <v>1.4</v>
      </c>
      <c r="I37" s="55">
        <v>1.4</v>
      </c>
      <c r="J37" s="55">
        <v>1.6</v>
      </c>
      <c r="K37" s="55">
        <v>1.6</v>
      </c>
      <c r="L37" s="55">
        <v>4.4000000000000004</v>
      </c>
      <c r="M37" s="55">
        <v>4.4000000000000004</v>
      </c>
      <c r="N37" s="55">
        <v>3.7</v>
      </c>
      <c r="O37" s="55">
        <v>3.7</v>
      </c>
      <c r="P37" s="55"/>
      <c r="Q37" s="55"/>
      <c r="R37" s="55">
        <v>2.1</v>
      </c>
      <c r="S37" s="55">
        <v>2.1</v>
      </c>
      <c r="T37" s="55">
        <v>1.5</v>
      </c>
      <c r="U37" s="55">
        <v>1.5</v>
      </c>
      <c r="V37" s="55">
        <v>1.2</v>
      </c>
      <c r="W37" s="55">
        <v>1.2</v>
      </c>
      <c r="X37">
        <v>0.8</v>
      </c>
      <c r="Y37">
        <v>0.8</v>
      </c>
      <c r="AB37">
        <v>0.1</v>
      </c>
      <c r="AC37">
        <v>0.1</v>
      </c>
      <c r="AF37">
        <v>0</v>
      </c>
      <c r="AG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3:43" x14ac:dyDescent="0.25">
      <c r="C38" s="55" t="s">
        <v>297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 spans="3:43" x14ac:dyDescent="0.25">
      <c r="C39" s="55" t="s">
        <v>298</v>
      </c>
      <c r="D39" s="55">
        <v>0.4</v>
      </c>
      <c r="E39" s="55">
        <v>0.4</v>
      </c>
      <c r="F39" s="55">
        <v>0.6</v>
      </c>
      <c r="G39" s="55">
        <v>0.6</v>
      </c>
      <c r="H39" s="55">
        <v>0.5</v>
      </c>
      <c r="I39" s="55">
        <v>0.5</v>
      </c>
      <c r="J39" s="55">
        <v>0.4</v>
      </c>
      <c r="K39" s="55">
        <v>0.4</v>
      </c>
      <c r="L39" s="55">
        <v>0.3</v>
      </c>
      <c r="M39" s="55">
        <v>0.3</v>
      </c>
      <c r="N39" s="55">
        <v>0.3</v>
      </c>
      <c r="O39" s="55">
        <v>0.3</v>
      </c>
      <c r="P39" s="55">
        <v>0</v>
      </c>
      <c r="Q39" s="55">
        <v>0</v>
      </c>
      <c r="R39" s="55">
        <v>0.2</v>
      </c>
      <c r="S39" s="55">
        <v>0.2</v>
      </c>
      <c r="T39" s="55">
        <v>0.2</v>
      </c>
      <c r="U39" s="55">
        <v>0.2</v>
      </c>
      <c r="V39" s="55">
        <v>0.2</v>
      </c>
      <c r="W39" s="55">
        <v>0.2</v>
      </c>
      <c r="X39">
        <v>0.3</v>
      </c>
      <c r="Y39">
        <v>0.3</v>
      </c>
      <c r="Z39">
        <v>0</v>
      </c>
      <c r="AA39">
        <v>0</v>
      </c>
      <c r="AB39">
        <v>0.6</v>
      </c>
      <c r="AC39">
        <v>0.6</v>
      </c>
      <c r="AD39">
        <v>0</v>
      </c>
      <c r="AE39">
        <v>0</v>
      </c>
      <c r="AF39">
        <v>2</v>
      </c>
      <c r="AG39">
        <v>2</v>
      </c>
      <c r="AH39">
        <v>2.1</v>
      </c>
      <c r="AI39">
        <v>2.1</v>
      </c>
      <c r="AJ39">
        <v>2</v>
      </c>
      <c r="AK39">
        <v>2</v>
      </c>
      <c r="AL39">
        <v>2.2999999999999998</v>
      </c>
      <c r="AM39">
        <v>2.2999999999999998</v>
      </c>
      <c r="AN39">
        <v>1.9</v>
      </c>
      <c r="AO39">
        <v>1.9</v>
      </c>
      <c r="AP39">
        <v>2.4</v>
      </c>
      <c r="AQ39">
        <v>2.4</v>
      </c>
    </row>
    <row r="40" spans="3:43" x14ac:dyDescent="0.25">
      <c r="C40" s="55" t="s">
        <v>60</v>
      </c>
      <c r="D40" s="55">
        <v>10.8</v>
      </c>
      <c r="E40" s="55">
        <v>10.8</v>
      </c>
      <c r="F40" s="55">
        <v>7.6</v>
      </c>
      <c r="G40" s="55">
        <v>7.6</v>
      </c>
      <c r="H40" s="55">
        <v>8.1</v>
      </c>
      <c r="I40" s="55">
        <v>8.1</v>
      </c>
      <c r="J40" s="55">
        <v>7.2</v>
      </c>
      <c r="K40" s="55">
        <v>7.2</v>
      </c>
      <c r="L40" s="55">
        <v>10.1</v>
      </c>
      <c r="M40" s="55">
        <v>10.1</v>
      </c>
      <c r="N40" s="55">
        <v>9.1</v>
      </c>
      <c r="O40" s="55">
        <v>9.1</v>
      </c>
      <c r="P40" s="55"/>
      <c r="Q40" s="55"/>
      <c r="R40" s="55">
        <v>6.3</v>
      </c>
      <c r="S40" s="55">
        <v>6.3</v>
      </c>
      <c r="T40" s="55">
        <v>5.4</v>
      </c>
      <c r="U40" s="55">
        <v>5.4</v>
      </c>
      <c r="V40" s="55">
        <v>4.3</v>
      </c>
      <c r="W40" s="55">
        <v>4.3</v>
      </c>
      <c r="X40">
        <v>4.5999999999999996</v>
      </c>
      <c r="Y40">
        <v>4.5999999999999996</v>
      </c>
      <c r="AB40">
        <v>4.0999999999999996</v>
      </c>
      <c r="AC40">
        <v>4.0999999999999996</v>
      </c>
      <c r="AF40">
        <v>4.0999999999999996</v>
      </c>
      <c r="AG40">
        <v>4.0999999999999996</v>
      </c>
      <c r="AH40">
        <v>4</v>
      </c>
      <c r="AI40">
        <v>4</v>
      </c>
      <c r="AJ40">
        <v>4</v>
      </c>
      <c r="AK40">
        <v>4</v>
      </c>
      <c r="AL40">
        <v>4.5999999999999996</v>
      </c>
      <c r="AM40">
        <v>4.5999999999999996</v>
      </c>
      <c r="AN40">
        <v>3.9</v>
      </c>
      <c r="AO40">
        <v>3.9</v>
      </c>
      <c r="AP40">
        <v>4</v>
      </c>
      <c r="AQ40">
        <v>4</v>
      </c>
    </row>
    <row r="41" spans="3:43" x14ac:dyDescent="0.25"/>
    <row r="42" spans="3:43" x14ac:dyDescent="0.25">
      <c r="C42" s="55" t="s">
        <v>299</v>
      </c>
      <c r="D42" s="55">
        <v>5.6</v>
      </c>
      <c r="E42" s="55">
        <v>5.6</v>
      </c>
      <c r="F42" s="55">
        <v>5.6</v>
      </c>
      <c r="G42" s="55">
        <v>5.6</v>
      </c>
      <c r="H42" s="55">
        <v>5.6</v>
      </c>
      <c r="I42" s="55">
        <v>5.6</v>
      </c>
      <c r="J42" s="55">
        <v>5.6</v>
      </c>
      <c r="K42" s="55">
        <v>5.6</v>
      </c>
      <c r="L42" s="55">
        <v>5.6</v>
      </c>
      <c r="M42" s="55">
        <v>5.6</v>
      </c>
      <c r="N42" s="55">
        <v>5.6</v>
      </c>
      <c r="O42" s="55">
        <v>5.6</v>
      </c>
      <c r="P42" s="55"/>
      <c r="Q42" s="55"/>
      <c r="R42" s="55">
        <v>5.6</v>
      </c>
      <c r="S42" s="55">
        <v>5.6</v>
      </c>
      <c r="T42" s="55">
        <v>5.6</v>
      </c>
      <c r="U42" s="55">
        <v>5.6</v>
      </c>
      <c r="V42" s="55">
        <v>5.6</v>
      </c>
      <c r="W42" s="55">
        <v>5.6</v>
      </c>
      <c r="X42">
        <v>5.6</v>
      </c>
      <c r="Y42">
        <v>5.6</v>
      </c>
      <c r="AB42">
        <v>5.6</v>
      </c>
      <c r="AC42">
        <v>5.6</v>
      </c>
      <c r="AF42">
        <v>5.6</v>
      </c>
      <c r="AG42">
        <v>5.6</v>
      </c>
      <c r="AH42">
        <v>5.6</v>
      </c>
      <c r="AI42">
        <v>5.6</v>
      </c>
      <c r="AJ42">
        <v>5.6</v>
      </c>
      <c r="AK42">
        <v>5.6</v>
      </c>
      <c r="AL42">
        <v>5.6</v>
      </c>
      <c r="AM42">
        <v>5.6</v>
      </c>
      <c r="AN42">
        <v>5.6</v>
      </c>
      <c r="AO42">
        <v>5.6</v>
      </c>
      <c r="AP42">
        <v>5.6</v>
      </c>
      <c r="AQ42">
        <v>5.6</v>
      </c>
    </row>
    <row r="43" spans="3:43" x14ac:dyDescent="0.25">
      <c r="C43" s="55" t="s">
        <v>300</v>
      </c>
      <c r="D43" s="55">
        <v>0.4</v>
      </c>
      <c r="E43" s="55">
        <v>0.4</v>
      </c>
      <c r="F43" s="55">
        <v>0.4</v>
      </c>
      <c r="G43" s="55">
        <v>0.4</v>
      </c>
      <c r="H43" s="55">
        <v>0.4</v>
      </c>
      <c r="I43" s="55">
        <v>0.4</v>
      </c>
      <c r="J43" s="55">
        <v>0.4</v>
      </c>
      <c r="K43" s="55">
        <v>0.4</v>
      </c>
      <c r="L43" s="55">
        <v>0.4</v>
      </c>
      <c r="M43" s="55">
        <v>0.4</v>
      </c>
      <c r="N43" s="55">
        <v>0.4</v>
      </c>
      <c r="O43" s="55">
        <v>0.4</v>
      </c>
      <c r="P43" s="55"/>
      <c r="Q43" s="55"/>
      <c r="R43" s="55">
        <v>0.4</v>
      </c>
      <c r="S43" s="55">
        <v>0.4</v>
      </c>
      <c r="T43" s="55">
        <v>0.4</v>
      </c>
      <c r="U43" s="55">
        <v>0.4</v>
      </c>
      <c r="V43" s="55">
        <v>0.4</v>
      </c>
      <c r="W43" s="55">
        <v>0.4</v>
      </c>
      <c r="X43">
        <v>0.4</v>
      </c>
      <c r="Y43">
        <v>0.4</v>
      </c>
      <c r="AB43">
        <v>0.4</v>
      </c>
      <c r="AC43">
        <v>0.4</v>
      </c>
      <c r="AF43">
        <v>0.4</v>
      </c>
      <c r="AG43">
        <v>0.4</v>
      </c>
      <c r="AH43">
        <v>0.4</v>
      </c>
      <c r="AI43">
        <v>0.4</v>
      </c>
      <c r="AJ43">
        <v>0.4</v>
      </c>
      <c r="AK43">
        <v>0.4</v>
      </c>
      <c r="AL43">
        <v>0.4</v>
      </c>
      <c r="AM43">
        <v>0.4</v>
      </c>
      <c r="AN43">
        <v>0.4</v>
      </c>
      <c r="AO43">
        <v>0.4</v>
      </c>
      <c r="AP43">
        <v>0.4</v>
      </c>
      <c r="AQ43">
        <v>0.4</v>
      </c>
    </row>
    <row r="44" spans="3:43" x14ac:dyDescent="0.25">
      <c r="C44" s="55" t="s">
        <v>301</v>
      </c>
      <c r="D44" s="55">
        <v>1.3</v>
      </c>
      <c r="E44" s="55">
        <v>1.3</v>
      </c>
      <c r="F44" s="55">
        <v>1.1000000000000001</v>
      </c>
      <c r="G44" s="55">
        <v>1.1000000000000001</v>
      </c>
      <c r="H44" s="55">
        <v>-0.8</v>
      </c>
      <c r="I44" s="55">
        <v>-0.8</v>
      </c>
      <c r="J44" s="55">
        <v>-3.3</v>
      </c>
      <c r="K44" s="55">
        <v>-3.3</v>
      </c>
      <c r="L44" s="55">
        <v>-3.3</v>
      </c>
      <c r="M44" s="55">
        <v>-3.3</v>
      </c>
      <c r="N44" s="55">
        <v>-8.9</v>
      </c>
      <c r="O44" s="55">
        <v>-8.9</v>
      </c>
      <c r="P44" s="55"/>
      <c r="Q44" s="55"/>
      <c r="R44" s="55">
        <v>-1.8</v>
      </c>
      <c r="S44" s="55">
        <v>-1.8</v>
      </c>
      <c r="T44" s="55">
        <v>-1.2</v>
      </c>
      <c r="U44" s="55">
        <v>-1.2</v>
      </c>
      <c r="V44" s="55">
        <v>-2.9</v>
      </c>
      <c r="W44" s="55">
        <v>-2.9</v>
      </c>
      <c r="X44">
        <v>-0.9</v>
      </c>
      <c r="Y44">
        <v>-0.9</v>
      </c>
      <c r="AB44">
        <v>0</v>
      </c>
      <c r="AC44">
        <v>0</v>
      </c>
      <c r="AF44">
        <v>-0.3</v>
      </c>
      <c r="AG44">
        <v>-0.3</v>
      </c>
      <c r="AH44">
        <v>-0.6</v>
      </c>
      <c r="AI44">
        <v>-0.6</v>
      </c>
      <c r="AJ44">
        <v>0.4</v>
      </c>
      <c r="AK44">
        <v>0.4</v>
      </c>
      <c r="AL44">
        <v>1.5</v>
      </c>
      <c r="AM44">
        <v>1.5</v>
      </c>
      <c r="AN44">
        <v>1.3</v>
      </c>
      <c r="AO44">
        <v>1.3</v>
      </c>
      <c r="AP44">
        <v>1.1000000000000001</v>
      </c>
      <c r="AQ44">
        <v>1.1000000000000001</v>
      </c>
    </row>
    <row r="45" spans="3:43" x14ac:dyDescent="0.25">
      <c r="C45" s="55" t="s">
        <v>302</v>
      </c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</row>
    <row r="46" spans="3:43" x14ac:dyDescent="0.25">
      <c r="C46" s="55" t="s">
        <v>303</v>
      </c>
      <c r="D46" s="55">
        <v>48.2</v>
      </c>
      <c r="E46" s="55">
        <v>48.2</v>
      </c>
      <c r="F46" s="55">
        <v>48.2</v>
      </c>
      <c r="G46" s="55">
        <v>48.2</v>
      </c>
      <c r="H46" s="55">
        <v>49.4</v>
      </c>
      <c r="I46" s="55">
        <v>49.4</v>
      </c>
      <c r="J46" s="55">
        <v>49.8</v>
      </c>
      <c r="K46" s="55">
        <v>49.8</v>
      </c>
      <c r="L46" s="55">
        <v>45.7</v>
      </c>
      <c r="M46" s="55">
        <v>45.7</v>
      </c>
      <c r="N46" s="55">
        <v>45.4</v>
      </c>
      <c r="O46" s="55">
        <v>45.4</v>
      </c>
      <c r="P46" s="55">
        <v>42.6</v>
      </c>
      <c r="Q46" s="55">
        <v>0</v>
      </c>
      <c r="R46" s="55">
        <v>36.4</v>
      </c>
      <c r="S46" s="55">
        <v>36.4</v>
      </c>
      <c r="T46" s="55">
        <v>33.799999999999997</v>
      </c>
      <c r="U46" s="55">
        <v>33.799999999999997</v>
      </c>
      <c r="V46" s="55">
        <v>33.200000000000003</v>
      </c>
      <c r="W46" s="55">
        <v>33.200000000000003</v>
      </c>
      <c r="X46">
        <v>30</v>
      </c>
      <c r="Y46">
        <v>30</v>
      </c>
      <c r="Z46">
        <v>35.1</v>
      </c>
      <c r="AA46">
        <v>0</v>
      </c>
      <c r="AB46">
        <v>29.8</v>
      </c>
      <c r="AC46">
        <v>29.8</v>
      </c>
      <c r="AD46">
        <v>35.799999999999997</v>
      </c>
      <c r="AE46">
        <v>0</v>
      </c>
      <c r="AF46">
        <v>30.8</v>
      </c>
      <c r="AG46">
        <v>30.8</v>
      </c>
      <c r="AH46">
        <v>30.5</v>
      </c>
      <c r="AI46">
        <v>30.5</v>
      </c>
      <c r="AJ46">
        <v>29.8</v>
      </c>
      <c r="AK46">
        <v>29.8</v>
      </c>
      <c r="AL46">
        <v>29.8</v>
      </c>
      <c r="AM46">
        <v>29.8</v>
      </c>
      <c r="AN46">
        <v>30.7</v>
      </c>
      <c r="AO46">
        <v>30.7</v>
      </c>
      <c r="AP46">
        <v>30.8</v>
      </c>
      <c r="AQ46">
        <v>30.8</v>
      </c>
    </row>
    <row r="47" spans="3:43" x14ac:dyDescent="0.25">
      <c r="C47" s="55" t="s">
        <v>304</v>
      </c>
      <c r="D47" s="55">
        <v>55.5</v>
      </c>
      <c r="E47" s="55">
        <v>55.5</v>
      </c>
      <c r="F47" s="55">
        <v>55.3</v>
      </c>
      <c r="G47" s="55">
        <v>55.3</v>
      </c>
      <c r="H47" s="55">
        <v>54.7</v>
      </c>
      <c r="I47" s="55">
        <v>54.7</v>
      </c>
      <c r="J47" s="55">
        <v>52.5</v>
      </c>
      <c r="K47" s="55">
        <v>52.5</v>
      </c>
      <c r="L47" s="55">
        <v>48.5</v>
      </c>
      <c r="M47" s="55">
        <v>48.5</v>
      </c>
      <c r="N47" s="55">
        <v>42.6</v>
      </c>
      <c r="O47" s="55">
        <v>42.6</v>
      </c>
      <c r="P47" s="55">
        <v>42.6</v>
      </c>
      <c r="Q47" s="55"/>
      <c r="R47" s="55">
        <v>40.6</v>
      </c>
      <c r="S47" s="55">
        <v>40.6</v>
      </c>
      <c r="T47" s="55">
        <v>38.6</v>
      </c>
      <c r="U47" s="55">
        <v>38.6</v>
      </c>
      <c r="V47" s="55">
        <v>36.4</v>
      </c>
      <c r="W47" s="55">
        <v>36.4</v>
      </c>
      <c r="X47">
        <v>35.1</v>
      </c>
      <c r="Y47">
        <v>35.1</v>
      </c>
      <c r="Z47">
        <v>35.1</v>
      </c>
      <c r="AB47">
        <v>35.799999999999997</v>
      </c>
      <c r="AC47">
        <v>35.799999999999997</v>
      </c>
      <c r="AD47">
        <v>35.799999999999997</v>
      </c>
      <c r="AF47">
        <v>36.6</v>
      </c>
      <c r="AG47">
        <v>36.6</v>
      </c>
      <c r="AH47">
        <v>35.9</v>
      </c>
      <c r="AI47">
        <v>35.9</v>
      </c>
      <c r="AJ47">
        <v>36.200000000000003</v>
      </c>
      <c r="AK47">
        <v>36.200000000000003</v>
      </c>
      <c r="AL47">
        <v>37.4</v>
      </c>
      <c r="AM47">
        <v>37.4</v>
      </c>
      <c r="AN47">
        <v>38.1</v>
      </c>
      <c r="AO47">
        <v>38.1</v>
      </c>
      <c r="AP47">
        <v>37.9</v>
      </c>
      <c r="AQ47">
        <v>37.9</v>
      </c>
    </row>
    <row r="48" spans="3:43" x14ac:dyDescent="0.25">
      <c r="C48" s="55" t="s">
        <v>305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</row>
    <row r="49" spans="3:43" x14ac:dyDescent="0.25">
      <c r="C49" s="55" t="s">
        <v>306</v>
      </c>
      <c r="D49" s="55">
        <v>0.6</v>
      </c>
      <c r="E49" s="55">
        <v>0.6</v>
      </c>
      <c r="F49" s="55">
        <v>0.5</v>
      </c>
      <c r="G49" s="55">
        <v>0.5</v>
      </c>
      <c r="H49" s="55">
        <v>0.4</v>
      </c>
      <c r="I49" s="55">
        <v>0.4</v>
      </c>
      <c r="J49" s="55">
        <v>0.4</v>
      </c>
      <c r="K49" s="55">
        <v>0.4</v>
      </c>
      <c r="L49" s="55">
        <v>0.4</v>
      </c>
      <c r="M49" s="55">
        <v>0.4</v>
      </c>
      <c r="N49" s="55">
        <v>0.3</v>
      </c>
      <c r="O49" s="55">
        <v>0.3</v>
      </c>
      <c r="P49" s="55"/>
      <c r="Q49" s="55"/>
      <c r="R49" s="55">
        <v>0.1</v>
      </c>
      <c r="S49" s="55">
        <v>0.1</v>
      </c>
      <c r="T49" s="55">
        <v>0.1</v>
      </c>
      <c r="U49" s="55">
        <v>0.1</v>
      </c>
      <c r="V49" s="55">
        <v>0.1</v>
      </c>
      <c r="W49" s="55">
        <v>0.1</v>
      </c>
      <c r="X49">
        <v>0</v>
      </c>
      <c r="Y49">
        <v>0</v>
      </c>
      <c r="AB49">
        <v>0</v>
      </c>
      <c r="AC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3:43" x14ac:dyDescent="0.25">
      <c r="C50" s="55" t="s">
        <v>307</v>
      </c>
      <c r="D50" s="55">
        <v>0</v>
      </c>
      <c r="E50" s="55">
        <v>0</v>
      </c>
      <c r="F50" s="55">
        <v>0</v>
      </c>
      <c r="G50" s="55">
        <v>0</v>
      </c>
      <c r="H50" s="55">
        <v>0</v>
      </c>
      <c r="I50" s="55">
        <v>0</v>
      </c>
      <c r="J50" s="55">
        <v>0</v>
      </c>
      <c r="K50" s="55">
        <v>0</v>
      </c>
      <c r="L50" s="55">
        <v>0</v>
      </c>
      <c r="M50" s="55">
        <v>0</v>
      </c>
      <c r="N50" s="55">
        <v>0</v>
      </c>
      <c r="O50" s="55">
        <v>0</v>
      </c>
      <c r="P50" s="55">
        <v>0.3</v>
      </c>
      <c r="Q50" s="55">
        <v>0</v>
      </c>
      <c r="R50" s="55">
        <v>0</v>
      </c>
      <c r="S50" s="55">
        <v>0</v>
      </c>
      <c r="T50" s="55">
        <v>0</v>
      </c>
      <c r="U50" s="55">
        <v>0</v>
      </c>
      <c r="V50" s="55">
        <v>0</v>
      </c>
      <c r="W50" s="55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3:43" x14ac:dyDescent="0.25">
      <c r="C51" s="55" t="s">
        <v>147</v>
      </c>
      <c r="D51" s="55">
        <v>56.1</v>
      </c>
      <c r="E51" s="55">
        <v>56.1</v>
      </c>
      <c r="F51" s="55">
        <v>55.8</v>
      </c>
      <c r="G51" s="55">
        <v>55.8</v>
      </c>
      <c r="H51" s="55">
        <v>55.1</v>
      </c>
      <c r="I51" s="55">
        <v>55.1</v>
      </c>
      <c r="J51" s="55">
        <v>52.9</v>
      </c>
      <c r="K51" s="55">
        <v>52.9</v>
      </c>
      <c r="L51" s="55">
        <v>48.8</v>
      </c>
      <c r="M51" s="55">
        <v>48.8</v>
      </c>
      <c r="N51" s="55">
        <v>42.9</v>
      </c>
      <c r="O51" s="55">
        <v>42.9</v>
      </c>
      <c r="P51" s="55">
        <v>42.9</v>
      </c>
      <c r="Q51" s="55"/>
      <c r="R51" s="55">
        <v>40.799999999999997</v>
      </c>
      <c r="S51" s="55">
        <v>40.799999999999997</v>
      </c>
      <c r="T51" s="55">
        <v>38.799999999999997</v>
      </c>
      <c r="U51" s="55">
        <v>38.799999999999997</v>
      </c>
      <c r="V51" s="55">
        <v>36.4</v>
      </c>
      <c r="W51" s="55">
        <v>36.4</v>
      </c>
      <c r="X51">
        <v>35.1</v>
      </c>
      <c r="Y51">
        <v>35.1</v>
      </c>
      <c r="Z51">
        <v>35.1</v>
      </c>
      <c r="AB51">
        <v>35.799999999999997</v>
      </c>
      <c r="AC51">
        <v>35.799999999999997</v>
      </c>
      <c r="AD51">
        <v>35.799999999999997</v>
      </c>
      <c r="AF51">
        <v>36.6</v>
      </c>
      <c r="AG51">
        <v>36.6</v>
      </c>
      <c r="AH51">
        <v>35.799999999999997</v>
      </c>
      <c r="AI51">
        <v>35.799999999999997</v>
      </c>
      <c r="AJ51">
        <v>36.200000000000003</v>
      </c>
      <c r="AK51">
        <v>36.200000000000003</v>
      </c>
      <c r="AL51">
        <v>37.4</v>
      </c>
      <c r="AM51">
        <v>37.4</v>
      </c>
      <c r="AN51">
        <v>38.1</v>
      </c>
      <c r="AO51">
        <v>38.1</v>
      </c>
      <c r="AP51">
        <v>37.9</v>
      </c>
      <c r="AQ51">
        <v>37.9</v>
      </c>
    </row>
    <row r="52" spans="3:43" x14ac:dyDescent="0.25"/>
    <row r="53" spans="3:43" x14ac:dyDescent="0.25">
      <c r="C53" s="55" t="s">
        <v>308</v>
      </c>
      <c r="D53" s="55">
        <v>66.900000000000006</v>
      </c>
      <c r="E53" s="55">
        <v>66.900000000000006</v>
      </c>
      <c r="F53" s="55">
        <v>63.3</v>
      </c>
      <c r="G53" s="55">
        <v>63.3</v>
      </c>
      <c r="H53" s="55">
        <v>63.2</v>
      </c>
      <c r="I53" s="55">
        <v>63.2</v>
      </c>
      <c r="J53" s="55">
        <v>60.1</v>
      </c>
      <c r="K53" s="55">
        <v>60.1</v>
      </c>
      <c r="L53" s="55">
        <v>58.9</v>
      </c>
      <c r="M53" s="55">
        <v>58.9</v>
      </c>
      <c r="N53" s="55">
        <v>52</v>
      </c>
      <c r="O53" s="55">
        <v>52</v>
      </c>
      <c r="P53" s="55"/>
      <c r="Q53" s="55"/>
      <c r="R53" s="55">
        <v>47.1</v>
      </c>
      <c r="S53" s="55">
        <v>47.1</v>
      </c>
      <c r="T53" s="55">
        <v>44.2</v>
      </c>
      <c r="U53" s="55">
        <v>44.2</v>
      </c>
      <c r="V53" s="55">
        <v>40.799999999999997</v>
      </c>
      <c r="W53" s="55">
        <v>40.799999999999997</v>
      </c>
      <c r="X53">
        <v>39.700000000000003</v>
      </c>
      <c r="Y53">
        <v>39.700000000000003</v>
      </c>
      <c r="AB53">
        <v>40</v>
      </c>
      <c r="AC53">
        <v>40</v>
      </c>
      <c r="AF53">
        <v>40.700000000000003</v>
      </c>
      <c r="AG53">
        <v>40.700000000000003</v>
      </c>
      <c r="AH53">
        <v>39.799999999999997</v>
      </c>
      <c r="AI53">
        <v>39.799999999999997</v>
      </c>
      <c r="AJ53">
        <v>40.200000000000003</v>
      </c>
      <c r="AK53">
        <v>40.200000000000003</v>
      </c>
      <c r="AL53">
        <v>41.9</v>
      </c>
      <c r="AM53">
        <v>41.9</v>
      </c>
      <c r="AN53">
        <v>42</v>
      </c>
      <c r="AO53">
        <v>42</v>
      </c>
      <c r="AP53">
        <v>42</v>
      </c>
      <c r="AQ53">
        <v>42</v>
      </c>
    </row>
    <row r="54" spans="3:43" x14ac:dyDescent="0.25"/>
    <row r="55" spans="3:43" x14ac:dyDescent="0.25">
      <c r="C55" s="55" t="s">
        <v>309</v>
      </c>
      <c r="D55" s="55">
        <v>20.399999999999999</v>
      </c>
      <c r="E55" s="55">
        <v>20.399999999999999</v>
      </c>
      <c r="F55" s="55">
        <v>20.6</v>
      </c>
      <c r="G55" s="55">
        <v>20.6</v>
      </c>
      <c r="H55" s="55">
        <v>20.2</v>
      </c>
      <c r="I55" s="55">
        <v>20.2</v>
      </c>
      <c r="J55" s="55">
        <v>17.600000000000001</v>
      </c>
      <c r="K55" s="55">
        <v>17.600000000000001</v>
      </c>
      <c r="L55" s="55">
        <v>18.399999999999999</v>
      </c>
      <c r="M55" s="55">
        <v>18.399999999999999</v>
      </c>
      <c r="N55" s="55">
        <v>15.6</v>
      </c>
      <c r="O55" s="55">
        <v>15.6</v>
      </c>
      <c r="P55" s="55">
        <v>15.6</v>
      </c>
      <c r="Q55" s="55"/>
      <c r="R55" s="55">
        <v>16.3</v>
      </c>
      <c r="S55" s="55">
        <v>16.3</v>
      </c>
      <c r="T55" s="55">
        <v>17.3</v>
      </c>
      <c r="U55" s="55">
        <v>17.3</v>
      </c>
      <c r="V55" s="55">
        <v>18.5</v>
      </c>
      <c r="W55" s="55">
        <v>18.5</v>
      </c>
      <c r="X55">
        <v>18.2</v>
      </c>
      <c r="Y55">
        <v>18.2</v>
      </c>
      <c r="Z55">
        <v>18.2</v>
      </c>
      <c r="AB55">
        <v>18.5</v>
      </c>
      <c r="AC55">
        <v>18.5</v>
      </c>
      <c r="AD55">
        <v>18.5</v>
      </c>
      <c r="AF55">
        <v>19.600000000000001</v>
      </c>
      <c r="AG55">
        <v>19.600000000000001</v>
      </c>
      <c r="AH55">
        <v>20.6</v>
      </c>
      <c r="AI55">
        <v>20.6</v>
      </c>
      <c r="AJ55">
        <v>21.8</v>
      </c>
      <c r="AK55">
        <v>21.8</v>
      </c>
      <c r="AL55">
        <v>23</v>
      </c>
      <c r="AM55">
        <v>23</v>
      </c>
      <c r="AN55">
        <v>24.1</v>
      </c>
      <c r="AO55">
        <v>24.1</v>
      </c>
      <c r="AP55">
        <v>25.2</v>
      </c>
      <c r="AQ55">
        <v>25.2</v>
      </c>
    </row>
    <row r="56" spans="3:43" x14ac:dyDescent="0.25">
      <c r="C56" s="55" t="s">
        <v>310</v>
      </c>
      <c r="D56" s="55">
        <v>0</v>
      </c>
      <c r="E56" s="55">
        <v>0</v>
      </c>
      <c r="F56" s="55">
        <v>0</v>
      </c>
      <c r="G56" s="55">
        <v>0</v>
      </c>
      <c r="H56" s="55">
        <v>1.4</v>
      </c>
      <c r="I56" s="55">
        <v>1.4</v>
      </c>
      <c r="J56" s="55">
        <v>1.6</v>
      </c>
      <c r="K56" s="55">
        <v>1.6</v>
      </c>
      <c r="L56" s="55">
        <v>4.4000000000000004</v>
      </c>
      <c r="M56" s="55">
        <v>4.4000000000000004</v>
      </c>
      <c r="N56" s="55">
        <v>3.7</v>
      </c>
      <c r="O56" s="55">
        <v>3.7</v>
      </c>
      <c r="P56" s="55">
        <v>3.7</v>
      </c>
      <c r="Q56" s="55"/>
      <c r="R56" s="55">
        <v>2.1</v>
      </c>
      <c r="S56" s="55">
        <v>2.1</v>
      </c>
      <c r="T56" s="55">
        <v>1.5</v>
      </c>
      <c r="U56" s="55">
        <v>1.5</v>
      </c>
      <c r="V56" s="55">
        <v>1.2</v>
      </c>
      <c r="W56" s="55">
        <v>1.2</v>
      </c>
      <c r="X56">
        <v>0.8</v>
      </c>
      <c r="Y56">
        <v>0.8</v>
      </c>
      <c r="Z56">
        <v>0.8</v>
      </c>
      <c r="AB56">
        <v>0.1</v>
      </c>
      <c r="AC56">
        <v>0.1</v>
      </c>
      <c r="AD56">
        <v>0.1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3:43" x14ac:dyDescent="0.25"/>
    <row r="58" spans="3:43" x14ac:dyDescent="0.25"/>
    <row r="59" spans="3:43" x14ac:dyDescent="0.25"/>
    <row r="60" spans="3:43" x14ac:dyDescent="0.25"/>
    <row r="61" spans="3:43" x14ac:dyDescent="0.25"/>
    <row r="62" spans="3:43" x14ac:dyDescent="0.25"/>
    <row r="63" spans="3:43" x14ac:dyDescent="0.25"/>
    <row r="64" spans="3:4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</sheetData>
  <mergeCells count="2">
    <mergeCell ref="C2:E2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ncav</vt:lpstr>
      <vt:lpstr>profitability</vt:lpstr>
      <vt:lpstr>piotrosky</vt:lpstr>
      <vt:lpstr>C7</vt:lpstr>
      <vt:lpstr>ro</vt:lpstr>
      <vt:lpstr>ownership</vt:lpstr>
      <vt:lpstr>trilogiq_IS</vt:lpstr>
      <vt:lpstr>trilogiq_bs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</dc:creator>
  <cp:lastModifiedBy>Xander Snyder</cp:lastModifiedBy>
  <dcterms:created xsi:type="dcterms:W3CDTF">2023-08-22T04:43:58Z</dcterms:created>
  <dcterms:modified xsi:type="dcterms:W3CDTF">2026-01-25T07:38:28Z</dcterms:modified>
</cp:coreProperties>
</file>