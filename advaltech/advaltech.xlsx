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55" yWindow="0" windowWidth="18165" windowHeight="14970" tabRatio="626" firstSheet="0" activeTab="4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cav" sheetId="2" state="visible" r:id="rId2"/>
    <sheet xmlns:r="http://schemas.openxmlformats.org/officeDocument/2006/relationships" name="profitability" sheetId="3" state="visible" r:id="rId3"/>
    <sheet xmlns:r="http://schemas.openxmlformats.org/officeDocument/2006/relationships" name="piotrosky" sheetId="4" state="visible" r:id="rId4"/>
    <sheet xmlns:r="http://schemas.openxmlformats.org/officeDocument/2006/relationships" name="C7" sheetId="5" state="visible" r:id="rId5"/>
    <sheet xmlns:r="http://schemas.openxmlformats.org/officeDocument/2006/relationships" name="ro" sheetId="6" state="visible" r:id="rId6"/>
    <sheet xmlns:r="http://schemas.openxmlformats.org/officeDocument/2006/relationships" name="ownership" sheetId="7" state="visible" r:id="rId7"/>
    <sheet xmlns:r="http://schemas.openxmlformats.org/officeDocument/2006/relationships" name="advaltech_IS" sheetId="8" state="visible" r:id="rId8"/>
    <sheet xmlns:r="http://schemas.openxmlformats.org/officeDocument/2006/relationships" name="advaltech_bs" sheetId="9" state="visible" r:id="rId9"/>
  </sheets>
  <definedNames/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(#,##0_)_%;\(#,##0\)_%;_(&quot;–&quot;_)_%;_(@_)_%"/>
    <numFmt numFmtId="165" formatCode="_(#,##0.0%_);\(#,##0.0%\);_(&quot;–&quot;_)_%;_(@_)_%"/>
    <numFmt numFmtId="166" formatCode="_(#,##0.00_)_%;\(#,##0.00\)_%;_(&quot;–&quot;_)_%;_(@_)_%"/>
    <numFmt numFmtId="167" formatCode="_(#,##0.0_)_%;\(#,##0.0\)_%;_(&quot;–&quot;_)_%;_(@_)_%"/>
    <numFmt numFmtId="168" formatCode="_(#,##0.000_)_%;\(#,##0.000\)_%;_(&quot;–&quot;_)_%;_(@_)_%"/>
    <numFmt numFmtId="169" formatCode="_([$$]#,##0.00_)_%;\([$$]#,##0.00\)_%;_(&quot;–&quot;_)_%;_(@_)_%"/>
    <numFmt numFmtId="170" formatCode="_([$$]#,##0.0_)_%;\([$$]#,##0.0\)_%;_(&quot;–&quot;_)_%;_(@_)_%"/>
  </numFmts>
  <fonts count="20">
    <font>
      <name val="Calibri"/>
      <family val="2"/>
      <color theme="1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8000"/>
      <sz val="11"/>
      <scheme val="minor"/>
    </font>
    <font>
      <name val="Arial"/>
      <family val="2"/>
      <color rgb="FF000000"/>
      <sz val="10"/>
    </font>
    <font>
      <name val="Arial"/>
      <family val="2"/>
      <color rgb="FF008000"/>
      <sz val="10"/>
    </font>
    <font>
      <name val="Arial"/>
      <family val="2"/>
      <i val="1"/>
      <color rgb="FF000000"/>
      <sz val="10"/>
    </font>
    <font>
      <name val="Arial"/>
      <family val="2"/>
      <color rgb="FF0000FF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FF0000"/>
      <sz val="10"/>
    </font>
    <font>
      <name val="Arial"/>
      <family val="2"/>
      <color rgb="FF000000"/>
      <sz val="10"/>
    </font>
    <font>
      <name val="Arial"/>
      <family val="2"/>
      <color rgb="FF434343"/>
      <sz val="10"/>
    </font>
    <font>
      <name val="Arial"/>
      <family val="2"/>
      <b val="1"/>
      <color rgb="FF000000"/>
      <sz val="10"/>
      <u val="single"/>
    </font>
    <font>
      <name val="Arial"/>
      <family val="2"/>
      <b val="1"/>
      <color rgb="FF1551C3"/>
      <sz val="20"/>
    </font>
    <font>
      <name val="Arial"/>
      <family val="2"/>
      <b val="1"/>
      <color rgb="FF434343"/>
      <sz val="10"/>
    </font>
    <font>
      <name val="Arial"/>
      <family val="2"/>
      <b val="1"/>
      <color rgb="FF1551C3"/>
      <sz val="11"/>
    </font>
    <font>
      <name val="Arial"/>
      <family val="2"/>
      <sz val="11"/>
    </font>
    <font>
      <name val="Arial"/>
      <family val="2"/>
      <color rgb="FF434343"/>
      <sz val="10"/>
    </font>
  </fonts>
  <fills count="7">
    <fill>
      <patternFill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rgb="FFF4CCCC"/>
        <bgColor rgb="FF000000"/>
      </patternFill>
    </fill>
    <fill>
      <patternFill patternType="solid">
        <fgColor rgb="FFC9DAF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75">
    <xf numFmtId="0" fontId="0" fillId="0" borderId="0" pivotButton="0" quotePrefix="0" xfId="0"/>
    <xf numFmtId="164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0" fontId="6" fillId="0" borderId="0" pivotButton="0" quotePrefix="0" xfId="1"/>
    <xf numFmtId="164" fontId="7" fillId="0" borderId="0" pivotButton="0" quotePrefix="0" xfId="1"/>
    <xf numFmtId="164" fontId="6" fillId="0" borderId="0" pivotButton="0" quotePrefix="0" xfId="1"/>
    <xf numFmtId="166" fontId="6" fillId="0" borderId="0" pivotButton="0" quotePrefix="0" xfId="1"/>
    <xf numFmtId="0" fontId="8" fillId="0" borderId="0" pivotButton="0" quotePrefix="0" xfId="1"/>
    <xf numFmtId="165" fontId="8" fillId="0" borderId="0" pivotButton="0" quotePrefix="0" xfId="1"/>
    <xf numFmtId="165" fontId="6" fillId="0" borderId="0" pivotButton="0" quotePrefix="0" xfId="1"/>
    <xf numFmtId="165" fontId="9" fillId="0" borderId="0" pivotButton="0" quotePrefix="0" xfId="1"/>
    <xf numFmtId="0" fontId="2" fillId="0" borderId="0" pivotButton="0" quotePrefix="0" xfId="1"/>
    <xf numFmtId="165" fontId="2" fillId="0" borderId="0" pivotButton="0" quotePrefix="0" xfId="1"/>
    <xf numFmtId="0" fontId="3" fillId="0" borderId="0" pivotButton="0" quotePrefix="0" xfId="1"/>
    <xf numFmtId="0" fontId="6" fillId="0" borderId="1" pivotButton="0" quotePrefix="0" xfId="1"/>
    <xf numFmtId="164" fontId="6" fillId="0" borderId="1" pivotButton="0" quotePrefix="0" xfId="1"/>
    <xf numFmtId="0" fontId="0" fillId="0" borderId="0" applyAlignment="1" pivotButton="0" quotePrefix="0" xfId="0">
      <alignment horizontal="center"/>
    </xf>
    <xf numFmtId="164" fontId="9" fillId="0" borderId="0" pivotButton="0" quotePrefix="0" xfId="1"/>
    <xf numFmtId="164" fontId="6" fillId="0" borderId="0" applyAlignment="1" pivotButton="0" quotePrefix="0" xfId="1">
      <alignment horizontal="right"/>
    </xf>
    <xf numFmtId="0" fontId="11" fillId="0" borderId="0" pivotButton="0" quotePrefix="0" xfId="1"/>
    <xf numFmtId="0" fontId="0" fillId="0" borderId="0" applyAlignment="1" pivotButton="0" quotePrefix="0" xfId="0">
      <alignment horizontal="left"/>
    </xf>
    <xf numFmtId="165" fontId="6" fillId="0" borderId="0" applyAlignment="1" pivotButton="0" quotePrefix="0" xfId="1">
      <alignment horizontal="right"/>
    </xf>
    <xf numFmtId="164" fontId="0" fillId="0" borderId="0" pivotButton="0" quotePrefix="0" xfId="0"/>
    <xf numFmtId="166" fontId="9" fillId="0" borderId="0" pivotButton="0" quotePrefix="0" xfId="1"/>
    <xf numFmtId="167" fontId="5" fillId="0" borderId="0" pivotButton="0" quotePrefix="0" xfId="1"/>
    <xf numFmtId="164" fontId="6" fillId="0" borderId="1" applyAlignment="1" pivotButton="0" quotePrefix="0" xfId="1">
      <alignment horizontal="right"/>
    </xf>
    <xf numFmtId="168" fontId="7" fillId="0" borderId="0" pivotButton="0" quotePrefix="0" xfId="1"/>
    <xf numFmtId="166" fontId="6" fillId="0" borderId="0" applyAlignment="1" pivotButton="0" quotePrefix="0" xfId="1">
      <alignment horizontal="right"/>
    </xf>
    <xf numFmtId="165" fontId="5" fillId="0" borderId="0" pivotButton="0" quotePrefix="0" xfId="0"/>
    <xf numFmtId="0" fontId="1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5" fontId="8" fillId="0" borderId="0" applyAlignment="1" pivotButton="0" quotePrefix="0" xfId="1">
      <alignment horizontal="right"/>
    </xf>
    <xf numFmtId="164" fontId="5" fillId="0" borderId="0" pivotButton="0" quotePrefix="0" xfId="1"/>
    <xf numFmtId="167" fontId="7" fillId="0" borderId="0" pivotButton="0" quotePrefix="0" xfId="1"/>
    <xf numFmtId="169" fontId="9" fillId="0" borderId="0" pivotButton="0" quotePrefix="0" xfId="1"/>
    <xf numFmtId="0" fontId="1" fillId="0" borderId="0" pivotButton="0" quotePrefix="0" xfId="0"/>
    <xf numFmtId="164" fontId="0" fillId="0" borderId="1" applyAlignment="1" pivotButton="0" quotePrefix="0" xfId="0">
      <alignment horizontal="right"/>
    </xf>
    <xf numFmtId="165" fontId="0" fillId="0" borderId="1" pivotButton="0" quotePrefix="0" xfId="0"/>
    <xf numFmtId="0" fontId="13" fillId="0" borderId="0" applyAlignment="1" pivotButton="0" quotePrefix="0" xfId="6">
      <alignment horizontal="left"/>
    </xf>
    <xf numFmtId="165" fontId="9" fillId="5" borderId="0" pivotButton="0" quotePrefix="0" xfId="1"/>
    <xf numFmtId="0" fontId="0" fillId="5" borderId="1" pivotButton="0" quotePrefix="0" xfId="0"/>
    <xf numFmtId="164" fontId="1" fillId="5" borderId="1" pivotButton="0" quotePrefix="0" xfId="0"/>
    <xf numFmtId="165" fontId="4" fillId="5" borderId="1" pivotButton="0" quotePrefix="0" xfId="0"/>
    <xf numFmtId="0" fontId="0" fillId="5" borderId="0" pivotButton="0" quotePrefix="0" xfId="0"/>
    <xf numFmtId="164" fontId="1" fillId="5" borderId="0" pivotButton="0" quotePrefix="0" xfId="0"/>
    <xf numFmtId="165" fontId="1" fillId="5" borderId="0" pivotButton="0" quotePrefix="0" xfId="0"/>
    <xf numFmtId="165" fontId="6" fillId="4" borderId="0" pivotButton="0" quotePrefix="0" xfId="1"/>
    <xf numFmtId="0" fontId="14" fillId="0" borderId="0" pivotButton="0" quotePrefix="0" xfId="1"/>
    <xf numFmtId="167" fontId="6" fillId="0" borderId="0" pivotButton="0" quotePrefix="0" xfId="1"/>
    <xf numFmtId="165" fontId="6" fillId="0" borderId="0" applyAlignment="1" pivotButton="0" quotePrefix="0" xfId="1">
      <alignment vertical="center"/>
    </xf>
    <xf numFmtId="0" fontId="16" fillId="0" borderId="0" pivotButton="0" quotePrefix="0" xfId="0"/>
    <xf numFmtId="0" fontId="18" fillId="2" borderId="0" pivotButton="0" quotePrefix="0" xfId="0"/>
    <xf numFmtId="0" fontId="19" fillId="0" borderId="0" applyAlignment="1" pivotButton="0" quotePrefix="0" xfId="0">
      <alignment horizontal="left"/>
    </xf>
    <xf numFmtId="0" fontId="1" fillId="4" borderId="0" pivotButton="0" quotePrefix="0" xfId="0"/>
    <xf numFmtId="166" fontId="6" fillId="4" borderId="0" pivotButton="0" quotePrefix="0" xfId="1"/>
    <xf numFmtId="165" fontId="8" fillId="4" borderId="0" pivotButton="0" quotePrefix="0" xfId="1"/>
    <xf numFmtId="165" fontId="2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0" fontId="13" fillId="0" borderId="0" applyAlignment="1" pivotButton="0" quotePrefix="0" xfId="6">
      <alignment horizontal="center"/>
    </xf>
    <xf numFmtId="164" fontId="7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167" fontId="7" fillId="0" borderId="0" applyAlignment="1" pivotButton="0" quotePrefix="0" xfId="1">
      <alignment horizontal="center"/>
    </xf>
    <xf numFmtId="165" fontId="6" fillId="0" borderId="0" applyAlignment="1" pivotButton="0" quotePrefix="0" xfId="1">
      <alignment horizontal="center"/>
    </xf>
    <xf numFmtId="165" fontId="6" fillId="0" borderId="0" applyAlignment="1" pivotButton="0" quotePrefix="0" xfId="1">
      <alignment horizontal="center" vertical="center"/>
    </xf>
    <xf numFmtId="166" fontId="6" fillId="0" borderId="0" applyAlignment="1" pivotButton="0" quotePrefix="0" xfId="1">
      <alignment horizontal="center"/>
    </xf>
    <xf numFmtId="164" fontId="6" fillId="6" borderId="0" applyAlignment="1" pivotButton="0" quotePrefix="0" xfId="1">
      <alignment horizontal="right"/>
    </xf>
    <xf numFmtId="170" fontId="4" fillId="0" borderId="0" pivotButton="0" quotePrefix="0" xfId="0"/>
    <xf numFmtId="164" fontId="4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left"/>
    </xf>
    <xf numFmtId="0" fontId="0" fillId="0" borderId="0" pivotButton="0" quotePrefix="0" xfId="0"/>
    <xf numFmtId="0" fontId="17" fillId="2" borderId="0" pivotButton="0" quotePrefix="0" xfId="0"/>
  </cellXfs>
  <cellStyles count="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NCAV/Share Burn, YoY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val>
            <numRef>
              <f>ncav!$D$36:$R$36</f>
              <numCache>
                <formatCode>_(#,##0.0%_);\(#,##0.0%\);_("–"_)_%;_(@_)_%</formatCode>
                <ptCount val="15"/>
                <pt idx="4">
                  <v>-0.1206896551724137</v>
                </pt>
                <pt idx="5">
                  <v>-0.1206896551724137</v>
                </pt>
                <pt idx="6">
                  <v>-0.1889238020424193</v>
                </pt>
                <pt idx="7">
                  <v>-0.1889238020424193</v>
                </pt>
                <pt idx="8">
                  <v>-0.2042042042042043</v>
                </pt>
                <pt idx="9">
                  <v>-0.2042042042042043</v>
                </pt>
                <pt idx="10">
                  <v>0</v>
                </pt>
                <pt idx="11">
                  <v>-0.1540082455336695</v>
                </pt>
                <pt idx="12">
                  <v>-1</v>
                </pt>
                <pt idx="13">
                  <v>-1</v>
                </pt>
                <pt idx="1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672082600"/>
        <axId val="672071800"/>
      </barChart>
      <catAx>
        <axId val="6720826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72071800"/>
        <crosses val="autoZero"/>
        <auto val="1"/>
        <lblAlgn val="ctr"/>
        <lblOffset val="100"/>
        <noMultiLvlLbl val="0"/>
      </catAx>
      <valAx>
        <axId val="6720718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%_);\(#,##0.0%\);_(&quot;–&quot;_)_%;_(@_)_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7208260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NCAV/Share Burn, QoQ</a:t>
            </a:r>
          </a:p>
        </rich>
      </tx>
      <layout>
        <manualLayout>
          <xMode val="edge"/>
          <yMode val="edge"/>
          <wMode val="factor"/>
          <hMode val="factor"/>
          <x val="0.4153390553150084"/>
          <y val="0.0194507982867981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val>
            <numRef>
              <f>ncav!$D$35:$R$35</f>
              <numCache>
                <formatCode>_(#,##0.0%_);\(#,##0.0%\);_("–"_)_%;_(@_)_%</formatCode>
                <ptCount val="15"/>
                <pt idx="1">
                  <v>0</v>
                </pt>
                <pt idx="2">
                  <v>-0.06486042692939242</v>
                </pt>
                <pt idx="3">
                  <v>0</v>
                </pt>
                <pt idx="4">
                  <v>-0.05970149253731338</v>
                </pt>
                <pt idx="5">
                  <v>0</v>
                </pt>
                <pt idx="6">
                  <v>-0.1374269005847952</v>
                </pt>
                <pt idx="7">
                  <v>0</v>
                </pt>
                <pt idx="8">
                  <v>-0.07741639945029799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-1</v>
                </pt>
                <pt idx="13">
                  <v>0</v>
                </pt>
                <pt idx="1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672082600"/>
        <axId val="672071800"/>
      </barChart>
      <catAx>
        <axId val="6720826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72071800"/>
        <crosses val="autoZero"/>
        <auto val="1"/>
        <lblAlgn val="ctr"/>
        <lblOffset val="100"/>
        <noMultiLvlLbl val="0"/>
      </catAx>
      <valAx>
        <axId val="6720718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%_);\(#,##0.0%\);_(&quot;–&quot;_)_%;_(@_)_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7208260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Ratio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ncav!$D$1:$R$1</f>
              <strCache>
                <ptCount val="15"/>
                <pt idx="0">
                  <v>2015-06-30</v>
                </pt>
                <pt idx="1">
                  <v>2015-09-30</v>
                </pt>
                <pt idx="2">
                  <v>2015-12-31</v>
                </pt>
                <pt idx="3">
                  <v>2016-03-31</v>
                </pt>
                <pt idx="4">
                  <v>2016-06-30</v>
                </pt>
                <pt idx="5">
                  <v>2016-09-30</v>
                </pt>
                <pt idx="6">
                  <v>2016-12-31</v>
                </pt>
                <pt idx="7">
                  <v>2017-03-31</v>
                </pt>
                <pt idx="8">
                  <v>2017-06-30</v>
                </pt>
                <pt idx="9">
                  <v>2017-09-30</v>
                </pt>
                <pt idx="10">
                  <v>2017-12-31</v>
                </pt>
                <pt idx="11">
                  <v>2018-03-31</v>
                </pt>
                <pt idx="12">
                  <v>2018-06-30</v>
                </pt>
                <pt idx="13">
                  <v>2018-09-30</v>
                </pt>
                <pt idx="14">
                  <v>2018-12-31</v>
                </pt>
              </strCache>
            </strRef>
          </cat>
          <val>
            <numRef>
              <f>ncav!$D$26:$R$26</f>
              <numCache>
                <formatCode>_(#,##0.00_)_%;\(#,##0.00\)_%;_("–"_)_%;_(@_)_%</formatCode>
                <ptCount val="15"/>
                <pt idx="0">
                  <v>4.384615384615385</v>
                </pt>
                <pt idx="1">
                  <v>4.384615384615385</v>
                </pt>
                <pt idx="2">
                  <v>5.871428571428572</v>
                </pt>
                <pt idx="3">
                  <v>5.871428571428572</v>
                </pt>
                <pt idx="4">
                  <v>6.532258064516129</v>
                </pt>
                <pt idx="5">
                  <v>6.532258064516129</v>
                </pt>
                <pt idx="6">
                  <v>7.057692307692308</v>
                </pt>
                <pt idx="7">
                  <v>7.057692307692308</v>
                </pt>
                <pt idx="8">
                  <v>6.777777777777778</v>
                </pt>
                <pt idx="9">
                  <v>6.777777777777778</v>
                </pt>
                <pt idx="10">
                  <v>6.549019607843137</v>
                </pt>
                <pt idx="11">
                  <v>6.549019607843137</v>
                </pt>
                <pt idx="12">
                  <v>0</v>
                </pt>
                <pt idx="13">
                  <v>0</v>
                </pt>
                <pt idx="14">
                  <v>7.65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64427888"/>
        <axId val="664425728"/>
      </lineChart>
      <catAx>
        <axId val="6644278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64425728"/>
        <crosses val="autoZero"/>
        <auto val="1"/>
        <lblAlgn val="ctr"/>
        <lblOffset val="100"/>
        <noMultiLvlLbl val="0"/>
      </catAx>
      <valAx>
        <axId val="6644257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0_)_%;\(#,##0.00\)_%;_(&quot;–&quot;_)_%;_(@_)_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644278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Ratio, 4 per MA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ncav!$D$1:$R$1</f>
              <strCache>
                <ptCount val="15"/>
                <pt idx="0">
                  <v>2015-06-30</v>
                </pt>
                <pt idx="1">
                  <v>2015-09-30</v>
                </pt>
                <pt idx="2">
                  <v>2015-12-31</v>
                </pt>
                <pt idx="3">
                  <v>2016-03-31</v>
                </pt>
                <pt idx="4">
                  <v>2016-06-30</v>
                </pt>
                <pt idx="5">
                  <v>2016-09-30</v>
                </pt>
                <pt idx="6">
                  <v>2016-12-31</v>
                </pt>
                <pt idx="7">
                  <v>2017-03-31</v>
                </pt>
                <pt idx="8">
                  <v>2017-06-30</v>
                </pt>
                <pt idx="9">
                  <v>2017-09-30</v>
                </pt>
                <pt idx="10">
                  <v>2017-12-31</v>
                </pt>
                <pt idx="11">
                  <v>2018-03-31</v>
                </pt>
                <pt idx="12">
                  <v>2018-06-30</v>
                </pt>
                <pt idx="13">
                  <v>2018-09-30</v>
                </pt>
                <pt idx="14">
                  <v>2018-12-31</v>
                </pt>
              </strCache>
            </strRef>
          </cat>
          <val>
            <numRef>
              <f>ncav!$D$27:$R$27</f>
              <numCache>
                <formatCode>_(#,##0.00_)_%;\(#,##0.00\)_%;_("–"_)_%;_(@_)_%</formatCode>
                <ptCount val="15"/>
                <pt idx="0">
                  <v>4.384615384615385</v>
                </pt>
                <pt idx="1">
                  <v>4.384615384615385</v>
                </pt>
                <pt idx="2">
                  <v>4.880219780219781</v>
                </pt>
                <pt idx="3">
                  <v>5.128021978021978</v>
                </pt>
                <pt idx="4">
                  <v>5.664932647997164</v>
                </pt>
                <pt idx="5">
                  <v>6.20184331797235</v>
                </pt>
                <pt idx="6">
                  <v>6.498409252038284</v>
                </pt>
                <pt idx="7">
                  <v>6.794975186104219</v>
                </pt>
                <pt idx="8">
                  <v>6.856355114419632</v>
                </pt>
                <pt idx="9">
                  <v>6.917735042735043</v>
                </pt>
                <pt idx="10">
                  <v>6.79056686777275</v>
                </pt>
                <pt idx="11">
                  <v>6.663398692810457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32435104"/>
        <axId val="732433664"/>
      </lineChart>
      <catAx>
        <axId val="7324351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32433664"/>
        <crosses val="autoZero"/>
        <auto val="1"/>
        <lblAlgn val="ctr"/>
        <lblOffset val="100"/>
        <noMultiLvlLbl val="0"/>
      </catAx>
      <valAx>
        <axId val="7324336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0_)_%;\(#,##0.00\)_%;_(&quot;–&quot;_)_%;_(@_)_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3243510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Margin 4 period MA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profitability!$G$1:$V$1</f>
              <strCache>
                <ptCount val="16"/>
                <pt idx="0">
                  <v>2016-06-30</v>
                </pt>
                <pt idx="1">
                  <v>2016-09-30</v>
                </pt>
                <pt idx="2">
                  <v>2016-12-31</v>
                </pt>
                <pt idx="3">
                  <v>2017-03-31</v>
                </pt>
                <pt idx="4">
                  <v>2017-06-30</v>
                </pt>
                <pt idx="5">
                  <v>2017-09-30</v>
                </pt>
                <pt idx="6">
                  <v>2017-12-31</v>
                </pt>
                <pt idx="7">
                  <v>2018-03-31</v>
                </pt>
                <pt idx="8">
                  <v>2018-06-30</v>
                </pt>
                <pt idx="9">
                  <v>2018-09-30</v>
                </pt>
                <pt idx="10">
                  <v>2018-12-31</v>
                </pt>
                <pt idx="11">
                  <v>2019-03-31</v>
                </pt>
                <pt idx="12">
                  <v>2019-06-30</v>
                </pt>
                <pt idx="13">
                  <v>2019-09-30</v>
                </pt>
                <pt idx="14">
                  <v>2019-12-31</v>
                </pt>
                <pt idx="15">
                  <v>2020-03-31</v>
                </pt>
              </strCache>
            </strRef>
          </cat>
          <val>
            <numRef>
              <f>profitability!$G$8:$V$8</f>
              <numCache>
                <formatCode>_(#,##0.0%_);\(#,##0.0%\);_("–"_)_%;_(@_)_%</formatCode>
                <ptCount val="16"/>
                <pt idx="0">
                  <v>0.3763641411946497</v>
                </pt>
                <pt idx="1">
                  <v>0.3660365058670143</v>
                </pt>
                <pt idx="2">
                  <v>0.3535768609921152</v>
                </pt>
                <pt idx="3">
                  <v>0.3411172161172161</v>
                </pt>
                <pt idx="4">
                  <v>0.3190374440374441</v>
                </pt>
                <pt idx="5">
                  <v>0.296957671957672</v>
                </pt>
                <pt idx="6">
                  <v>0.2283000364896917</v>
                </pt>
                <pt idx="7">
                  <v>0.1596424010217113</v>
                </pt>
                <pt idx="8">
                  <v>0.1648366196305641</v>
                </pt>
                <pt idx="9">
                  <v>0.1700308382394169</v>
                </pt>
                <pt idx="10">
                  <v>0.254027301546225</v>
                </pt>
                <pt idx="11">
                  <v>0.3380237648530332</v>
                </pt>
                <pt idx="12">
                  <v>0.3500253134399476</v>
                </pt>
                <pt idx="13">
                  <v>0.362026862026862</v>
                </pt>
                <pt idx="14">
                  <v>0.3602462352462352</v>
                </pt>
                <pt idx="15">
                  <v>0.3584656084656084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94692696"/>
        <axId val="1194695216"/>
      </barChart>
      <catAx>
        <axId val="11946926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94695216"/>
        <crosses val="autoZero"/>
        <auto val="1"/>
        <lblAlgn val="ctr"/>
        <lblOffset val="100"/>
        <noMultiLvlLbl val="0"/>
      </catAx>
      <valAx>
        <axId val="11946952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%_);\(#,##0.0%\);_(&quot;–&quot;_)_%;_(@_)_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9469269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YoY%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profitability!$G$1:$V$1</f>
              <strCache>
                <ptCount val="16"/>
                <pt idx="0">
                  <v>2016-06-30</v>
                </pt>
                <pt idx="1">
                  <v>2016-09-30</v>
                </pt>
                <pt idx="2">
                  <v>2016-12-31</v>
                </pt>
                <pt idx="3">
                  <v>2017-03-31</v>
                </pt>
                <pt idx="4">
                  <v>2017-06-30</v>
                </pt>
                <pt idx="5">
                  <v>2017-09-30</v>
                </pt>
                <pt idx="6">
                  <v>2017-12-31</v>
                </pt>
                <pt idx="7">
                  <v>2018-03-31</v>
                </pt>
                <pt idx="8">
                  <v>2018-06-30</v>
                </pt>
                <pt idx="9">
                  <v>2018-09-30</v>
                </pt>
                <pt idx="10">
                  <v>2018-12-31</v>
                </pt>
                <pt idx="11">
                  <v>2019-03-31</v>
                </pt>
                <pt idx="12">
                  <v>2019-06-30</v>
                </pt>
                <pt idx="13">
                  <v>2019-09-30</v>
                </pt>
                <pt idx="14">
                  <v>2019-12-31</v>
                </pt>
                <pt idx="15">
                  <v>2020-03-31</v>
                </pt>
              </strCache>
            </strRef>
          </cat>
          <val>
            <numRef>
              <f>profitability!$G$4:$V$4</f>
              <numCache>
                <formatCode>_(#,##0.0%_);\(#,##0.0%\);_("–"_)_%;_(@_)_%</formatCode>
                <ptCount val="16"/>
                <pt idx="0">
                  <v>-0.4382716049382716</v>
                </pt>
                <pt idx="1">
                  <v>-0.4382716049382716</v>
                </pt>
                <pt idx="2">
                  <v>-0.288135593220339</v>
                </pt>
                <pt idx="3">
                  <v>-0.288135593220339</v>
                </pt>
                <pt idx="4">
                  <v>-0.1098901098901099</v>
                </pt>
                <pt idx="5">
                  <v>-0.1098901098901099</v>
                </pt>
                <pt idx="6">
                  <v>0.03571428571428559</v>
                </pt>
                <pt idx="7">
                  <v>0.03571428571428559</v>
                </pt>
                <pt idx="8">
                  <v>0.01234567901234573</v>
                </pt>
                <pt idx="9">
                  <v>0.01234567901234573</v>
                </pt>
                <pt idx="10">
                  <v>-0.103448275862069</v>
                </pt>
                <pt idx="11">
                  <v>-0.103448275862069</v>
                </pt>
                <pt idx="12">
                  <v>-0.2317073170731707</v>
                </pt>
                <pt idx="13">
                  <v>-0.2317073170731707</v>
                </pt>
                <pt idx="14">
                  <v>-0.3076923076923076</v>
                </pt>
                <pt idx="15">
                  <v>-0.3076923076923076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94692696"/>
        <axId val="1194695216"/>
      </barChart>
      <catAx>
        <axId val="11946926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94695216"/>
        <crosses val="autoZero"/>
        <auto val="1"/>
        <lblAlgn val="ctr"/>
        <lblOffset val="100"/>
        <noMultiLvlLbl val="0"/>
      </catAx>
      <valAx>
        <axId val="11946952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%_);\(#,##0.0%\);_(&quot;–&quot;_)_%;_(@_)_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9469269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 Anualized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ro!$A$20</f>
              <strCache>
                <ptCount val="1"/>
                <pt idx="0">
                  <v>ROA (EBIT)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ro!$H$1:$U$1</f>
              <strCache>
                <ptCount val="14"/>
                <pt idx="0">
                  <v>2016-09-30</v>
                </pt>
                <pt idx="1">
                  <v>2016-12-31</v>
                </pt>
                <pt idx="2">
                  <v>2017-03-31</v>
                </pt>
                <pt idx="3">
                  <v>2017-06-30</v>
                </pt>
                <pt idx="4">
                  <v>2017-09-30</v>
                </pt>
                <pt idx="5">
                  <v>2017-12-31</v>
                </pt>
                <pt idx="6">
                  <v>2018-03-31</v>
                </pt>
                <pt idx="7">
                  <v>2018-06-30</v>
                </pt>
                <pt idx="8">
                  <v>2018-09-30</v>
                </pt>
                <pt idx="9">
                  <v>2018-12-31</v>
                </pt>
                <pt idx="10">
                  <v>2019-03-31</v>
                </pt>
                <pt idx="11">
                  <v>2019-06-30</v>
                </pt>
                <pt idx="12">
                  <v>2019-09-30</v>
                </pt>
                <pt idx="13">
                  <v>2019-12-31</v>
                </pt>
              </strCache>
            </strRef>
          </cat>
          <val>
            <numRef>
              <f>ro!$I$20:$V$20</f>
              <numCache>
                <formatCode>_(#,##0.0%_);\(#,##0.0%\);_("–"_)_%;_(@_)_%</formatCode>
                <ptCount val="14"/>
                <pt idx="0">
                  <v>-0.016220600162206</v>
                </pt>
                <pt idx="1">
                  <v>-0.01663893510815308</v>
                </pt>
                <pt idx="2">
                  <v>-0.01680672268907563</v>
                </pt>
                <pt idx="3">
                  <v>-0.01697792869269949</v>
                </pt>
                <pt idx="4">
                  <v>0.01082055906221821</v>
                </pt>
                <pt idx="5">
                  <v>0.01153846153846154</v>
                </pt>
                <pt idx="6">
                  <v>-0.01538461538461539</v>
                </pt>
                <pt idx="7">
                  <v>0</v>
                </pt>
                <pt idx="8">
                  <v>-0.02547770700636942</v>
                </pt>
                <pt idx="9">
                  <v>-0.01273885350318471</v>
                </pt>
                <pt idx="10">
                  <v>-0.004381161007667032</v>
                </pt>
                <pt idx="11">
                  <v>-0.004524886877828054</v>
                </pt>
                <pt idx="12">
                  <v>0</v>
                </pt>
                <pt idx="13">
                  <v>0</v>
                </pt>
              </numCache>
            </numRef>
          </val>
        </ser>
        <ser>
          <idx val="1"/>
          <order val="1"/>
          <tx>
            <strRef>
              <f>ro!$A$21</f>
              <strCache>
                <ptCount val="1"/>
                <pt idx="0">
                  <v>ROA (NI)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ro!$H$1:$U$1</f>
              <strCache>
                <ptCount val="14"/>
                <pt idx="0">
                  <v>2016-09-30</v>
                </pt>
                <pt idx="1">
                  <v>2016-12-31</v>
                </pt>
                <pt idx="2">
                  <v>2017-03-31</v>
                </pt>
                <pt idx="3">
                  <v>2017-06-30</v>
                </pt>
                <pt idx="4">
                  <v>2017-09-30</v>
                </pt>
                <pt idx="5">
                  <v>2017-12-31</v>
                </pt>
                <pt idx="6">
                  <v>2018-03-31</v>
                </pt>
                <pt idx="7">
                  <v>2018-06-30</v>
                </pt>
                <pt idx="8">
                  <v>2018-09-30</v>
                </pt>
                <pt idx="9">
                  <v>2018-12-31</v>
                </pt>
                <pt idx="10">
                  <v>2019-03-31</v>
                </pt>
                <pt idx="11">
                  <v>2019-06-30</v>
                </pt>
                <pt idx="12">
                  <v>2019-09-30</v>
                </pt>
                <pt idx="13">
                  <v>2019-12-31</v>
                </pt>
              </strCache>
            </strRef>
          </cat>
          <val>
            <numRef>
              <f>ro!$I$21:$V$21</f>
              <numCache>
                <formatCode>_(#,##0.0%_);\(#,##0.0%\);_("–"_)_%;_(@_)_%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664391528"/>
        <axId val="664391888"/>
      </barChart>
      <catAx>
        <axId val="6643915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64391888"/>
        <crosses val="autoZero"/>
        <auto val="1"/>
        <lblAlgn val="ctr"/>
        <lblOffset val="100"/>
        <noMultiLvlLbl val="0"/>
      </catAx>
      <valAx>
        <axId val="6643918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%_);\(#,##0.0%\);_(&quot;–&quot;_)_%;_(@_)_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6439152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 TTM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ro!$A$27</f>
              <strCache>
                <ptCount val="1"/>
                <pt idx="0">
                  <v>ROA (EBIT)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ro!$H$1:$U$1</f>
              <strCache>
                <ptCount val="14"/>
                <pt idx="0">
                  <v>2016-09-30</v>
                </pt>
                <pt idx="1">
                  <v>2016-12-31</v>
                </pt>
                <pt idx="2">
                  <v>2017-03-31</v>
                </pt>
                <pt idx="3">
                  <v>2017-06-30</v>
                </pt>
                <pt idx="4">
                  <v>2017-09-30</v>
                </pt>
                <pt idx="5">
                  <v>2017-12-31</v>
                </pt>
                <pt idx="6">
                  <v>2018-03-31</v>
                </pt>
                <pt idx="7">
                  <v>2018-06-30</v>
                </pt>
                <pt idx="8">
                  <v>2018-09-30</v>
                </pt>
                <pt idx="9">
                  <v>2018-12-31</v>
                </pt>
                <pt idx="10">
                  <v>2019-03-31</v>
                </pt>
                <pt idx="11">
                  <v>2019-06-30</v>
                </pt>
                <pt idx="12">
                  <v>2019-09-30</v>
                </pt>
                <pt idx="13">
                  <v>2019-12-31</v>
                </pt>
              </strCache>
            </strRef>
          </cat>
          <val>
            <numRef>
              <f>ro!$I$27:$V$27</f>
              <numCache>
                <formatCode>_(#,##0.0%_);\(#,##0.0%\);_("–"_)_%;_(@_)_%</formatCode>
                <ptCount val="14"/>
                <pt idx="0">
                  <v>0</v>
                </pt>
                <pt idx="1">
                  <v>-0.016220600162206</v>
                </pt>
                <pt idx="2">
                  <v>-0.01680672268907563</v>
                </pt>
                <pt idx="3">
                  <v>-0.01680672268907563</v>
                </pt>
                <pt idx="4">
                  <v>-0.003606853020739405</v>
                </pt>
                <pt idx="5">
                  <v>0.01082055906221821</v>
                </pt>
                <pt idx="6">
                  <v>0.003846153846153845</v>
                </pt>
                <pt idx="7">
                  <v>-0.01538461538461539</v>
                </pt>
                <pt idx="8">
                  <v>-0.02123142250530785</v>
                </pt>
                <pt idx="9">
                  <v>-0.02547770700636942</v>
                </pt>
                <pt idx="10">
                  <v>-0.008762322015334063</v>
                </pt>
                <pt idx="11">
                  <v>-0.004381161007667032</v>
                </pt>
                <pt idx="12">
                  <v>-0.002352941176470588</v>
                </pt>
                <pt idx="13">
                  <v>0</v>
                </pt>
              </numCache>
            </numRef>
          </val>
        </ser>
        <ser>
          <idx val="1"/>
          <order val="1"/>
          <tx>
            <strRef>
              <f>ro!$A$28</f>
              <strCache>
                <ptCount val="1"/>
                <pt idx="0">
                  <v>ROA (NI)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ro!$H$1:$U$1</f>
              <strCache>
                <ptCount val="14"/>
                <pt idx="0">
                  <v>2016-09-30</v>
                </pt>
                <pt idx="1">
                  <v>2016-12-31</v>
                </pt>
                <pt idx="2">
                  <v>2017-03-31</v>
                </pt>
                <pt idx="3">
                  <v>2017-06-30</v>
                </pt>
                <pt idx="4">
                  <v>2017-09-30</v>
                </pt>
                <pt idx="5">
                  <v>2017-12-31</v>
                </pt>
                <pt idx="6">
                  <v>2018-03-31</v>
                </pt>
                <pt idx="7">
                  <v>2018-06-30</v>
                </pt>
                <pt idx="8">
                  <v>2018-09-30</v>
                </pt>
                <pt idx="9">
                  <v>2018-12-31</v>
                </pt>
                <pt idx="10">
                  <v>2019-03-31</v>
                </pt>
                <pt idx="11">
                  <v>2019-06-30</v>
                </pt>
                <pt idx="12">
                  <v>2019-09-30</v>
                </pt>
                <pt idx="13">
                  <v>2019-12-31</v>
                </pt>
              </strCache>
            </strRef>
          </cat>
          <val>
            <numRef>
              <f>ro!$I$28:$V$28</f>
              <numCache>
                <formatCode>_(#,##0.0%_);\(#,##0.0%\);_("–"_)_%;_(@_)_%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664391528"/>
        <axId val="664391888"/>
      </barChart>
      <catAx>
        <axId val="6643915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64391888"/>
        <crosses val="autoZero"/>
        <auto val="1"/>
        <lblAlgn val="ctr"/>
        <lblOffset val="100"/>
        <noMultiLvlLbl val="0"/>
      </catAx>
      <valAx>
        <axId val="6643918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%_);\(#,##0.0%\);_(&quot;–&quot;_)_%;_(@_)_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6439152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 Turnover (Sales/Assets)</a:t>
            </a:r>
          </a:p>
        </rich>
      </tx>
      <layout>
        <manualLayout>
          <xMode val="edge"/>
          <yMode val="edge"/>
          <wMode val="factor"/>
          <hMode val="factor"/>
          <x val="0.3150485564304462"/>
          <y val="0.0231481481481481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ro!$C$1:$U$1</f>
              <strCache>
                <ptCount val="19"/>
                <pt idx="0">
                  <v>2015-06-30</v>
                </pt>
                <pt idx="1">
                  <v>2015-09-30</v>
                </pt>
                <pt idx="2">
                  <v>2015-12-31</v>
                </pt>
                <pt idx="3">
                  <v>2016-03-31</v>
                </pt>
                <pt idx="4">
                  <v>2016-06-30</v>
                </pt>
                <pt idx="5">
                  <v>2016-09-30</v>
                </pt>
                <pt idx="6">
                  <v>2016-12-31</v>
                </pt>
                <pt idx="7">
                  <v>2017-03-31</v>
                </pt>
                <pt idx="8">
                  <v>2017-06-30</v>
                </pt>
                <pt idx="9">
                  <v>2017-09-30</v>
                </pt>
                <pt idx="10">
                  <v>2017-12-31</v>
                </pt>
                <pt idx="11">
                  <v>2018-03-31</v>
                </pt>
                <pt idx="12">
                  <v>2018-06-30</v>
                </pt>
                <pt idx="13">
                  <v>2018-09-30</v>
                </pt>
                <pt idx="14">
                  <v>2018-12-31</v>
                </pt>
                <pt idx="15">
                  <v>2019-03-31</v>
                </pt>
                <pt idx="16">
                  <v>2019-06-30</v>
                </pt>
                <pt idx="17">
                  <v>2019-09-30</v>
                </pt>
                <pt idx="18">
                  <v>2019-12-31</v>
                </pt>
              </strCache>
            </strRef>
          </cat>
          <val>
            <numRef>
              <f>ro!$C$33:$V$33</f>
              <numCache>
                <formatCode>_(#,##0.00_)_%;\(#,##0.00\)_%;_("–"_)_%;_(@_)_%</formatCode>
                <ptCount val="20"/>
                <pt idx="1">
                  <v>0.9686098654708519</v>
                </pt>
                <pt idx="2">
                  <v>0.7250384024577574</v>
                </pt>
                <pt idx="3">
                  <v>0.74565560821485</v>
                </pt>
                <pt idx="4">
                  <v>0.5754940711462451</v>
                </pt>
                <pt idx="5">
                  <v>0.5759493670886076</v>
                </pt>
                <pt idx="6">
                  <v>0.5450121654501217</v>
                </pt>
                <pt idx="7">
                  <v>0.5590682196339435</v>
                </pt>
                <pt idx="8">
                  <v>0.5445378151260504</v>
                </pt>
                <pt idx="9">
                  <v>0.5500848896434635</v>
                </pt>
                <pt idx="10">
                  <v>0.6275924256086564</v>
                </pt>
                <pt idx="11">
                  <v>0.6692307692307692</v>
                </pt>
                <pt idx="12">
                  <v>1.261538461538461</v>
                </pt>
                <pt idx="13">
                  <v>0</v>
                </pt>
                <pt idx="14">
                  <v>1.32484076433121</v>
                </pt>
                <pt idx="15">
                  <v>0.6624203821656051</v>
                </pt>
                <pt idx="16">
                  <v>0.5520262869660459</v>
                </pt>
                <pt idx="17">
                  <v>0.5701357466063348</v>
                </pt>
                <pt idx="18">
                  <v>0.5082352941176471</v>
                </pt>
                <pt idx="19">
                  <v>0.5294117647058825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37657744"/>
        <axId val="737666744"/>
      </lineChart>
      <catAx>
        <axId val="7376577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37666744"/>
        <crosses val="autoZero"/>
        <auto val="1"/>
        <lblAlgn val="ctr"/>
        <lblOffset val="100"/>
        <noMultiLvlLbl val="0"/>
      </catAx>
      <valAx>
        <axId val="737666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,##0.00_)_%;\(#,##0.00\)_%;_(&quot;–&quot;_)_%;_(@_)_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3765774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Xander</author>
  </authors>
  <commentList>
    <comment ref="R20" authorId="0" shapeId="0">
      <text>
        <t>Xander:
Net income / eps = shares</t>
      </text>
    </comment>
  </commentList>
</comments>
</file>

<file path=xl/comments/comment2.xml><?xml version="1.0" encoding="utf-8"?>
<comments xmlns="http://schemas.openxmlformats.org/spreadsheetml/2006/main">
  <authors>
    <author>Xander</author>
  </authors>
  <commentList>
    <comment ref="K3" authorId="0" shapeId="0">
      <text>
        <t>Xander:
What is this pulling from? Can't find on RO tab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twoCellAnchor>
    <from>
      <col>44</col>
      <colOff>94747</colOff>
      <row>11</row>
      <rowOff>187451</rowOff>
    </from>
    <to>
      <col>51</col>
      <colOff>446612</colOff>
      <row>28</row>
      <rowOff>27105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44</col>
      <colOff>33618</colOff>
      <row>32</row>
      <rowOff>44823</rowOff>
    </from>
    <to>
      <col>51</col>
      <colOff>386502</colOff>
      <row>57</row>
      <rowOff>40341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24</col>
      <colOff>0</colOff>
      <row>60</row>
      <rowOff>0</rowOff>
    </from>
    <to>
      <col>31</col>
      <colOff>336177</colOff>
      <row>77</row>
      <rowOff>76200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31</col>
      <colOff>515471</colOff>
      <row>58</row>
      <rowOff>0</rowOff>
    </from>
    <to>
      <col>39</col>
      <colOff>246529</colOff>
      <row>75</row>
      <rowOff>76200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13</col>
      <colOff>509867</colOff>
      <row>17</row>
      <rowOff>67243</rowOff>
    </from>
    <to>
      <col>19</col>
      <colOff>571500</colOff>
      <row>37</row>
      <rowOff>67235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812425</colOff>
      <row>17</row>
      <rowOff>0</rowOff>
    </from>
    <to>
      <col>13</col>
      <colOff>22411</colOff>
      <row>36</row>
      <rowOff>156874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12</col>
      <colOff>614362</colOff>
      <row>38</row>
      <rowOff>28575</rowOff>
    </from>
    <to>
      <col>18</col>
      <colOff>100012</colOff>
      <row>55</row>
      <rowOff>19050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733425</colOff>
      <row>37</row>
      <rowOff>57150</rowOff>
    </from>
    <to>
      <col>24</col>
      <colOff>457200</colOff>
      <row>54</row>
      <rowOff>47625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13</col>
      <colOff>0</colOff>
      <row>57</row>
      <rowOff>0</rowOff>
    </from>
    <to>
      <col>18</col>
      <colOff>333375</colOff>
      <row>73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99"/>
  <sheetViews>
    <sheetView zoomScaleNormal="100" workbookViewId="0">
      <selection activeCell="C10" sqref="C10"/>
    </sheetView>
  </sheetViews>
  <sheetFormatPr baseColWidth="8" defaultRowHeight="15"/>
  <cols>
    <col width="13.85546875" customWidth="1" style="73" min="1" max="2"/>
    <col width="12.140625" customWidth="1" style="73" min="3" max="3"/>
  </cols>
  <sheetData>
    <row r="1">
      <c r="A1" t="inlineStr">
        <is>
          <t>Company</t>
        </is>
      </c>
      <c r="C1" s="23">
        <f>advaltech_IS!C2</f>
        <v/>
      </c>
    </row>
    <row r="2">
      <c r="A2" t="inlineStr">
        <is>
          <t>Industry</t>
        </is>
      </c>
      <c r="C2" s="23" t="inlineStr">
        <is>
          <t>Industrial equipment</t>
        </is>
      </c>
    </row>
    <row r="3">
      <c r="A3" t="inlineStr">
        <is>
          <t>Ticker</t>
        </is>
      </c>
      <c r="C3" s="33" t="inlineStr">
        <is>
          <t>ALTRI</t>
        </is>
      </c>
    </row>
    <row r="4">
      <c r="A4" t="inlineStr">
        <is>
          <t>Country</t>
        </is>
      </c>
      <c r="C4" s="33" t="inlineStr">
        <is>
          <t>Europe (Fr)</t>
        </is>
      </c>
    </row>
    <row r="5">
      <c r="A5" t="inlineStr">
        <is>
          <t>Currency</t>
        </is>
      </c>
      <c r="C5" s="33" t="inlineStr">
        <is>
          <t>Euros</t>
        </is>
      </c>
    </row>
    <row r="6">
      <c r="A6" t="inlineStr">
        <is>
          <t>Price (input)</t>
        </is>
      </c>
      <c r="C6" s="71" t="n">
        <v>5.1</v>
      </c>
    </row>
    <row r="7">
      <c r="A7" t="inlineStr">
        <is>
          <t>Market Cap (mm USD)</t>
        </is>
      </c>
      <c r="C7" s="70" t="n">
        <v>22.4</v>
      </c>
    </row>
    <row r="8">
      <c r="A8" t="inlineStr">
        <is>
          <t>P/NCAV</t>
        </is>
      </c>
      <c r="C8" s="31">
        <f>ncav!AQ46</f>
        <v/>
      </c>
    </row>
    <row r="9">
      <c r="A9" t="inlineStr">
        <is>
          <t>Date Founded</t>
        </is>
      </c>
      <c r="C9" t="n">
        <v>1992</v>
      </c>
    </row>
    <row r="10">
      <c r="A10" t="inlineStr">
        <is>
          <t>Date Listed</t>
        </is>
      </c>
      <c r="C10" t="inlineStr">
        <is>
          <t>https://www.trilogiq.com/en-us</t>
        </is>
      </c>
    </row>
    <row r="11">
      <c r="A11" t="inlineStr">
        <is>
          <t>Website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99"/>
  <sheetViews>
    <sheetView zoomScale="70" zoomScaleNormal="70" workbookViewId="0">
      <pane xSplit="2" ySplit="1" topLeftCell="AB5" activePane="bottomRight" state="frozen"/>
      <selection pane="topRight" activeCell="C1" sqref="C1"/>
      <selection pane="bottomLeft" activeCell="A2" sqref="A2"/>
      <selection pane="bottomRight" activeCell="AN36" sqref="AN36"/>
    </sheetView>
  </sheetViews>
  <sheetFormatPr baseColWidth="8" defaultColWidth="9.140625" defaultRowHeight="12.75"/>
  <cols>
    <col width="2.7109375" customWidth="1" style="6" min="1" max="1"/>
    <col width="21.7109375" customWidth="1" style="6" min="2" max="2"/>
    <col width="12.7109375" customWidth="1" style="6" min="3" max="43"/>
    <col width="9.140625" customWidth="1" style="6" min="44" max="45"/>
    <col width="9.140625" customWidth="1" style="6" min="46" max="16384"/>
  </cols>
  <sheetData>
    <row r="1" ht="15" customHeight="1" s="73">
      <c r="D1" s="41" t="inlineStr">
        <is>
          <t>2015-09-30</t>
        </is>
      </c>
      <c r="E1" s="41" t="inlineStr">
        <is>
          <t>2015-12-31</t>
        </is>
      </c>
      <c r="F1" s="41" t="inlineStr">
        <is>
          <t>2016-03-31</t>
        </is>
      </c>
      <c r="G1" s="41" t="inlineStr">
        <is>
          <t>2016-06-30</t>
        </is>
      </c>
      <c r="H1" s="41" t="inlineStr">
        <is>
          <t>2016-09-30</t>
        </is>
      </c>
      <c r="I1" s="41" t="inlineStr">
        <is>
          <t>2016-12-31</t>
        </is>
      </c>
      <c r="J1" s="41" t="inlineStr">
        <is>
          <t>2017-03-31</t>
        </is>
      </c>
      <c r="K1" s="41" t="inlineStr">
        <is>
          <t>2017-06-30</t>
        </is>
      </c>
      <c r="L1" s="41" t="inlineStr">
        <is>
          <t>2017-09-30</t>
        </is>
      </c>
      <c r="M1" s="41" t="inlineStr">
        <is>
          <t>2017-12-31</t>
        </is>
      </c>
      <c r="N1" s="41" t="inlineStr">
        <is>
          <t>2018-03-31</t>
        </is>
      </c>
      <c r="O1" s="41" t="inlineStr">
        <is>
          <t>2018-06-30</t>
        </is>
      </c>
      <c r="P1" s="41" t="inlineStr">
        <is>
          <t>2018-09-30</t>
        </is>
      </c>
      <c r="Q1" s="41" t="inlineStr">
        <is>
          <t>2018-12-31</t>
        </is>
      </c>
      <c r="R1" s="41" t="inlineStr">
        <is>
          <t>2019-03-31</t>
        </is>
      </c>
      <c r="S1" s="41" t="inlineStr">
        <is>
          <t>2019-06-30</t>
        </is>
      </c>
      <c r="T1" s="41" t="inlineStr">
        <is>
          <t>2019-09-30</t>
        </is>
      </c>
      <c r="U1" s="41" t="inlineStr">
        <is>
          <t>2019-12-31</t>
        </is>
      </c>
      <c r="V1" s="41" t="inlineStr">
        <is>
          <t>2020-03-31</t>
        </is>
      </c>
      <c r="W1" s="41" t="inlineStr">
        <is>
          <t>2020-06-30</t>
        </is>
      </c>
      <c r="X1" t="inlineStr">
        <is>
          <t>2020-09-30</t>
        </is>
      </c>
      <c r="Y1" t="inlineStr">
        <is>
          <t>2020-12-31</t>
        </is>
      </c>
      <c r="Z1" t="inlineStr">
        <is>
          <t>2021-03-31</t>
        </is>
      </c>
      <c r="AA1" t="inlineStr">
        <is>
          <t>2021-06-30</t>
        </is>
      </c>
      <c r="AB1" t="inlineStr">
        <is>
          <t>2021-09-30</t>
        </is>
      </c>
      <c r="AC1" t="inlineStr">
        <is>
          <t>2021-12-31</t>
        </is>
      </c>
      <c r="AD1" t="inlineStr">
        <is>
          <t>2022-03-31</t>
        </is>
      </c>
      <c r="AE1" t="inlineStr">
        <is>
          <t>2022-06-30</t>
        </is>
      </c>
      <c r="AF1" t="inlineStr">
        <is>
          <t>2022-09-30</t>
        </is>
      </c>
      <c r="AG1" t="inlineStr">
        <is>
          <t>2022-12-31</t>
        </is>
      </c>
      <c r="AH1" t="inlineStr">
        <is>
          <t>2023-03-31</t>
        </is>
      </c>
      <c r="AI1" t="inlineStr">
        <is>
          <t>2023-06-30</t>
        </is>
      </c>
      <c r="AJ1" t="inlineStr">
        <is>
          <t>2023-09-30</t>
        </is>
      </c>
      <c r="AK1" t="inlineStr">
        <is>
          <t>2023-12-31</t>
        </is>
      </c>
      <c r="AL1" t="inlineStr">
        <is>
          <t>2024-03-31</t>
        </is>
      </c>
      <c r="AM1" t="inlineStr">
        <is>
          <t>2024-06-30</t>
        </is>
      </c>
      <c r="AN1" t="inlineStr">
        <is>
          <t>2024-09-30</t>
        </is>
      </c>
      <c r="AO1" t="inlineStr">
        <is>
          <t>2024-12-31</t>
        </is>
      </c>
      <c r="AP1" t="inlineStr">
        <is>
          <t>2025-03-31</t>
        </is>
      </c>
      <c r="AQ1" t="inlineStr">
        <is>
          <t>2025-06-30</t>
        </is>
      </c>
    </row>
    <row r="2" ht="12.75" customHeight="1" s="73">
      <c r="A2" s="6" t="inlineStr">
        <is>
          <t>Cash &amp; other liquid securities</t>
        </is>
      </c>
      <c r="D2" s="7">
        <f>_xlfn.NUMBERVALUE(advaltech_bs!D12)+_xlfn.NUMBERVALUE(advaltech_bs!D13)</f>
        <v/>
      </c>
      <c r="E2" s="7">
        <f>_xlfn.NUMBERVALUE(advaltech_bs!E12)+_xlfn.NUMBERVALUE(advaltech_bs!E13)</f>
        <v/>
      </c>
      <c r="F2" s="7">
        <f>_xlfn.NUMBERVALUE(advaltech_bs!F12)+_xlfn.NUMBERVALUE(advaltech_bs!F13)</f>
        <v/>
      </c>
      <c r="G2" s="7">
        <f>_xlfn.NUMBERVALUE(advaltech_bs!G12)+_xlfn.NUMBERVALUE(advaltech_bs!G13)</f>
        <v/>
      </c>
      <c r="H2" s="7">
        <f>_xlfn.NUMBERVALUE(advaltech_bs!H12)+_xlfn.NUMBERVALUE(advaltech_bs!H13)</f>
        <v/>
      </c>
      <c r="I2" s="7">
        <f>_xlfn.NUMBERVALUE(advaltech_bs!I12)+_xlfn.NUMBERVALUE(advaltech_bs!I13)</f>
        <v/>
      </c>
      <c r="J2" s="7">
        <f>_xlfn.NUMBERVALUE(advaltech_bs!J12)+_xlfn.NUMBERVALUE(advaltech_bs!J13)</f>
        <v/>
      </c>
      <c r="K2" s="7">
        <f>_xlfn.NUMBERVALUE(advaltech_bs!K12)+_xlfn.NUMBERVALUE(advaltech_bs!K13)</f>
        <v/>
      </c>
      <c r="L2" s="7">
        <f>_xlfn.NUMBERVALUE(advaltech_bs!L12)+_xlfn.NUMBERVALUE(advaltech_bs!L13)</f>
        <v/>
      </c>
      <c r="M2" s="7">
        <f>_xlfn.NUMBERVALUE(advaltech_bs!M12)+_xlfn.NUMBERVALUE(advaltech_bs!M13)</f>
        <v/>
      </c>
      <c r="N2" s="7">
        <f>_xlfn.NUMBERVALUE(advaltech_bs!N12)+_xlfn.NUMBERVALUE(advaltech_bs!N13)</f>
        <v/>
      </c>
      <c r="O2" s="7">
        <f>_xlfn.NUMBERVALUE(advaltech_bs!O12)+_xlfn.NUMBERVALUE(advaltech_bs!O13)</f>
        <v/>
      </c>
      <c r="P2" s="7">
        <f>_xlfn.NUMBERVALUE(advaltech_bs!P12)+_xlfn.NUMBERVALUE(advaltech_bs!P13)</f>
        <v/>
      </c>
      <c r="Q2" s="7">
        <f>_xlfn.NUMBERVALUE(advaltech_bs!Q12)+_xlfn.NUMBERVALUE(advaltech_bs!Q13)</f>
        <v/>
      </c>
      <c r="R2" s="7">
        <f>_xlfn.NUMBERVALUE(advaltech_bs!R12)+_xlfn.NUMBERVALUE(advaltech_bs!R13)</f>
        <v/>
      </c>
      <c r="S2" s="7">
        <f>_xlfn.NUMBERVALUE(advaltech_bs!S12)+_xlfn.NUMBERVALUE(advaltech_bs!S13)</f>
        <v/>
      </c>
      <c r="T2" s="7">
        <f>_xlfn.NUMBERVALUE(advaltech_bs!T12)+_xlfn.NUMBERVALUE(advaltech_bs!T13)</f>
        <v/>
      </c>
      <c r="U2" s="7">
        <f>_xlfn.NUMBERVALUE(advaltech_bs!U12)+_xlfn.NUMBERVALUE(advaltech_bs!U13)</f>
        <v/>
      </c>
      <c r="V2" s="7">
        <f>_xlfn.NUMBERVALUE(advaltech_bs!V12)+_xlfn.NUMBERVALUE(advaltech_bs!V13)</f>
        <v/>
      </c>
      <c r="W2" s="7">
        <f>_xlfn.NUMBERVALUE(advaltech_bs!W12)+_xlfn.NUMBERVALUE(advaltech_bs!W13)</f>
        <v/>
      </c>
      <c r="X2">
        <f>_xlfn.NUMBERVALUE(advaltech_bs!X12)+_xlfn.NUMBERVALUE(advaltech_bs!X13)</f>
        <v/>
      </c>
      <c r="Y2">
        <f>_xlfn.NUMBERVALUE(advaltech_bs!Y12)+_xlfn.NUMBERVALUE(advaltech_bs!Y13)</f>
        <v/>
      </c>
      <c r="Z2">
        <f>_xlfn.NUMBERVALUE(advaltech_bs!Z12)+_xlfn.NUMBERVALUE(advaltech_bs!Z13)</f>
        <v/>
      </c>
      <c r="AA2">
        <f>_xlfn.NUMBERVALUE(advaltech_bs!AA12)+_xlfn.NUMBERVALUE(advaltech_bs!AA13)</f>
        <v/>
      </c>
      <c r="AB2">
        <f>_xlfn.NUMBERVALUE(advaltech_bs!AB12)+_xlfn.NUMBERVALUE(advaltech_bs!AB13)</f>
        <v/>
      </c>
      <c r="AC2">
        <f>_xlfn.NUMBERVALUE(advaltech_bs!AC12)+_xlfn.NUMBERVALUE(advaltech_bs!AC13)</f>
        <v/>
      </c>
      <c r="AD2">
        <f>_xlfn.NUMBERVALUE(advaltech_bs!AD12)+_xlfn.NUMBERVALUE(advaltech_bs!AD13)</f>
        <v/>
      </c>
      <c r="AE2">
        <f>_xlfn.NUMBERVALUE(advaltech_bs!AE12)+_xlfn.NUMBERVALUE(advaltech_bs!AE13)</f>
        <v/>
      </c>
      <c r="AF2">
        <f>_xlfn.NUMBERVALUE(advaltech_bs!AF12)+_xlfn.NUMBERVALUE(advaltech_bs!AF13)</f>
        <v/>
      </c>
      <c r="AG2">
        <f>_xlfn.NUMBERVALUE(advaltech_bs!AG12)+_xlfn.NUMBERVALUE(advaltech_bs!AG13)</f>
        <v/>
      </c>
      <c r="AH2">
        <f>_xlfn.NUMBERVALUE(advaltech_bs!AH12)+_xlfn.NUMBERVALUE(advaltech_bs!AH13)</f>
        <v/>
      </c>
      <c r="AI2">
        <f>_xlfn.NUMBERVALUE(advaltech_bs!AI12)+_xlfn.NUMBERVALUE(advaltech_bs!AI13)</f>
        <v/>
      </c>
      <c r="AJ2">
        <f>_xlfn.NUMBERVALUE(advaltech_bs!AJ12)+_xlfn.NUMBERVALUE(advaltech_bs!AJ13)</f>
        <v/>
      </c>
      <c r="AK2">
        <f>_xlfn.NUMBERVALUE(advaltech_bs!AK12)+_xlfn.NUMBERVALUE(advaltech_bs!AK13)</f>
        <v/>
      </c>
      <c r="AL2">
        <f>_xlfn.NUMBERVALUE(advaltech_bs!AL12)+_xlfn.NUMBERVALUE(advaltech_bs!AL13)</f>
        <v/>
      </c>
      <c r="AM2">
        <f>_xlfn.NUMBERVALUE(advaltech_bs!AM12)+_xlfn.NUMBERVALUE(advaltech_bs!AM13)</f>
        <v/>
      </c>
      <c r="AN2">
        <f>_xlfn.NUMBERVALUE(advaltech_bs!AN12)+_xlfn.NUMBERVALUE(advaltech_bs!AN13)</f>
        <v/>
      </c>
      <c r="AO2">
        <f>_xlfn.NUMBERVALUE(advaltech_bs!AO12)+_xlfn.NUMBERVALUE(advaltech_bs!AO13)</f>
        <v/>
      </c>
      <c r="AP2">
        <f>_xlfn.NUMBERVALUE(advaltech_bs!AP12)+_xlfn.NUMBERVALUE(advaltech_bs!AP13)</f>
        <v/>
      </c>
      <c r="AQ2">
        <f>_xlfn.NUMBERVALUE(advaltech_bs!AQ12)+_xlfn.NUMBERVALUE(advaltech_bs!AQ13)</f>
        <v/>
      </c>
    </row>
    <row r="3" ht="12.75" customHeight="1" s="73">
      <c r="A3" s="6" t="inlineStr">
        <is>
          <t>AR</t>
        </is>
      </c>
      <c r="C3" s="42" t="n">
        <v>0.8</v>
      </c>
      <c r="D3" s="7">
        <f>_xlfn.NUMBERVALUE(advaltech_bs!D14)</f>
        <v/>
      </c>
      <c r="E3" s="7">
        <f>_xlfn.NUMBERVALUE(advaltech_bs!E14)</f>
        <v/>
      </c>
      <c r="F3" s="7">
        <f>_xlfn.NUMBERVALUE(advaltech_bs!F14)</f>
        <v/>
      </c>
      <c r="G3" s="7">
        <f>_xlfn.NUMBERVALUE(advaltech_bs!G14)</f>
        <v/>
      </c>
      <c r="H3" s="7">
        <f>_xlfn.NUMBERVALUE(advaltech_bs!H14)</f>
        <v/>
      </c>
      <c r="I3" s="7">
        <f>_xlfn.NUMBERVALUE(advaltech_bs!I14)</f>
        <v/>
      </c>
      <c r="J3" s="7">
        <f>_xlfn.NUMBERVALUE(advaltech_bs!J14)</f>
        <v/>
      </c>
      <c r="K3" s="7">
        <f>_xlfn.NUMBERVALUE(advaltech_bs!K14)</f>
        <v/>
      </c>
      <c r="L3" s="7">
        <f>_xlfn.NUMBERVALUE(advaltech_bs!L14)</f>
        <v/>
      </c>
      <c r="M3" s="7">
        <f>_xlfn.NUMBERVALUE(advaltech_bs!M14)</f>
        <v/>
      </c>
      <c r="N3" s="7">
        <f>_xlfn.NUMBERVALUE(advaltech_bs!N14)</f>
        <v/>
      </c>
      <c r="O3" s="7">
        <f>_xlfn.NUMBERVALUE(advaltech_bs!O14)</f>
        <v/>
      </c>
      <c r="P3" s="7">
        <f>_xlfn.NUMBERVALUE(advaltech_bs!P14)</f>
        <v/>
      </c>
      <c r="Q3" s="7">
        <f>_xlfn.NUMBERVALUE(advaltech_bs!Q14)</f>
        <v/>
      </c>
      <c r="R3" s="7">
        <f>_xlfn.NUMBERVALUE(advaltech_bs!R14)</f>
        <v/>
      </c>
      <c r="S3" s="7">
        <f>_xlfn.NUMBERVALUE(advaltech_bs!S14)</f>
        <v/>
      </c>
      <c r="T3" s="7">
        <f>_xlfn.NUMBERVALUE(advaltech_bs!T14)</f>
        <v/>
      </c>
      <c r="U3" s="7">
        <f>_xlfn.NUMBERVALUE(advaltech_bs!U14)</f>
        <v/>
      </c>
      <c r="V3" s="7">
        <f>_xlfn.NUMBERVALUE(advaltech_bs!V14)</f>
        <v/>
      </c>
      <c r="W3" s="7">
        <f>_xlfn.NUMBERVALUE(advaltech_bs!W14)</f>
        <v/>
      </c>
      <c r="X3">
        <f>_xlfn.NUMBERVALUE(advaltech_bs!X14)</f>
        <v/>
      </c>
      <c r="Y3">
        <f>_xlfn.NUMBERVALUE(advaltech_bs!Y14)</f>
        <v/>
      </c>
      <c r="Z3">
        <f>_xlfn.NUMBERVALUE(advaltech_bs!Z14)</f>
        <v/>
      </c>
      <c r="AA3">
        <f>_xlfn.NUMBERVALUE(advaltech_bs!AA14)</f>
        <v/>
      </c>
      <c r="AB3">
        <f>_xlfn.NUMBERVALUE(advaltech_bs!AB14)</f>
        <v/>
      </c>
      <c r="AC3">
        <f>_xlfn.NUMBERVALUE(advaltech_bs!AC14)</f>
        <v/>
      </c>
      <c r="AD3">
        <f>_xlfn.NUMBERVALUE(advaltech_bs!AD14)</f>
        <v/>
      </c>
      <c r="AE3">
        <f>_xlfn.NUMBERVALUE(advaltech_bs!AE14)</f>
        <v/>
      </c>
      <c r="AF3">
        <f>_xlfn.NUMBERVALUE(advaltech_bs!AF14)</f>
        <v/>
      </c>
      <c r="AG3">
        <f>_xlfn.NUMBERVALUE(advaltech_bs!AG14)</f>
        <v/>
      </c>
      <c r="AH3">
        <f>_xlfn.NUMBERVALUE(advaltech_bs!AH14)</f>
        <v/>
      </c>
      <c r="AI3">
        <f>_xlfn.NUMBERVALUE(advaltech_bs!AI14)</f>
        <v/>
      </c>
      <c r="AJ3">
        <f>_xlfn.NUMBERVALUE(advaltech_bs!AJ14)</f>
        <v/>
      </c>
      <c r="AK3">
        <f>_xlfn.NUMBERVALUE(advaltech_bs!AK14)</f>
        <v/>
      </c>
      <c r="AL3">
        <f>_xlfn.NUMBERVALUE(advaltech_bs!AL14)</f>
        <v/>
      </c>
      <c r="AM3">
        <f>_xlfn.NUMBERVALUE(advaltech_bs!AM14)</f>
        <v/>
      </c>
      <c r="AN3">
        <f>_xlfn.NUMBERVALUE(advaltech_bs!AN14)</f>
        <v/>
      </c>
      <c r="AO3">
        <f>_xlfn.NUMBERVALUE(advaltech_bs!AO14)</f>
        <v/>
      </c>
      <c r="AP3">
        <f>_xlfn.NUMBERVALUE(advaltech_bs!AP14)</f>
        <v/>
      </c>
      <c r="AQ3">
        <f>_xlfn.NUMBERVALUE(advaltech_bs!AQ14)</f>
        <v/>
      </c>
    </row>
    <row r="4" ht="12.75" customHeight="1" s="73">
      <c r="A4" s="6" t="inlineStr">
        <is>
          <t>Inventory</t>
        </is>
      </c>
      <c r="C4" s="42" t="n">
        <v>0.6</v>
      </c>
      <c r="D4" s="7">
        <f>_xlfn.NUMBERVALUE(advaltech_bs!D15)</f>
        <v/>
      </c>
      <c r="E4" s="7">
        <f>_xlfn.NUMBERVALUE(advaltech_bs!E15)</f>
        <v/>
      </c>
      <c r="F4" s="7">
        <f>_xlfn.NUMBERVALUE(advaltech_bs!F15)</f>
        <v/>
      </c>
      <c r="G4" s="7">
        <f>_xlfn.NUMBERVALUE(advaltech_bs!G15)</f>
        <v/>
      </c>
      <c r="H4" s="7">
        <f>_xlfn.NUMBERVALUE(advaltech_bs!H15)</f>
        <v/>
      </c>
      <c r="I4" s="7">
        <f>_xlfn.NUMBERVALUE(advaltech_bs!I15)</f>
        <v/>
      </c>
      <c r="J4" s="7">
        <f>_xlfn.NUMBERVALUE(advaltech_bs!J15)</f>
        <v/>
      </c>
      <c r="K4" s="7">
        <f>_xlfn.NUMBERVALUE(advaltech_bs!K15)</f>
        <v/>
      </c>
      <c r="L4" s="7">
        <f>_xlfn.NUMBERVALUE(advaltech_bs!L15)</f>
        <v/>
      </c>
      <c r="M4" s="7">
        <f>_xlfn.NUMBERVALUE(advaltech_bs!M15)</f>
        <v/>
      </c>
      <c r="N4" s="7">
        <f>_xlfn.NUMBERVALUE(advaltech_bs!N15)</f>
        <v/>
      </c>
      <c r="O4" s="7">
        <f>_xlfn.NUMBERVALUE(advaltech_bs!O15)</f>
        <v/>
      </c>
      <c r="P4" s="7">
        <f>_xlfn.NUMBERVALUE(advaltech_bs!P15)</f>
        <v/>
      </c>
      <c r="Q4" s="7">
        <f>_xlfn.NUMBERVALUE(advaltech_bs!Q15)</f>
        <v/>
      </c>
      <c r="R4" s="7">
        <f>_xlfn.NUMBERVALUE(advaltech_bs!R15)</f>
        <v/>
      </c>
      <c r="S4" s="7">
        <f>_xlfn.NUMBERVALUE(advaltech_bs!S15)</f>
        <v/>
      </c>
      <c r="T4" s="7">
        <f>_xlfn.NUMBERVALUE(advaltech_bs!T15)</f>
        <v/>
      </c>
      <c r="U4" s="7">
        <f>_xlfn.NUMBERVALUE(advaltech_bs!U15)</f>
        <v/>
      </c>
      <c r="V4" s="7">
        <f>_xlfn.NUMBERVALUE(advaltech_bs!V15)</f>
        <v/>
      </c>
      <c r="W4" s="7">
        <f>_xlfn.NUMBERVALUE(advaltech_bs!W15)</f>
        <v/>
      </c>
      <c r="X4">
        <f>_xlfn.NUMBERVALUE(advaltech_bs!X15)</f>
        <v/>
      </c>
      <c r="Y4">
        <f>_xlfn.NUMBERVALUE(advaltech_bs!Y15)</f>
        <v/>
      </c>
      <c r="Z4">
        <f>_xlfn.NUMBERVALUE(advaltech_bs!Z15)</f>
        <v/>
      </c>
      <c r="AA4">
        <f>_xlfn.NUMBERVALUE(advaltech_bs!AA15)</f>
        <v/>
      </c>
      <c r="AB4">
        <f>_xlfn.NUMBERVALUE(advaltech_bs!AB15)</f>
        <v/>
      </c>
      <c r="AC4">
        <f>_xlfn.NUMBERVALUE(advaltech_bs!AC15)</f>
        <v/>
      </c>
      <c r="AD4">
        <f>_xlfn.NUMBERVALUE(advaltech_bs!AD15)</f>
        <v/>
      </c>
      <c r="AE4">
        <f>_xlfn.NUMBERVALUE(advaltech_bs!AE15)</f>
        <v/>
      </c>
      <c r="AF4">
        <f>_xlfn.NUMBERVALUE(advaltech_bs!AF15)</f>
        <v/>
      </c>
      <c r="AG4">
        <f>_xlfn.NUMBERVALUE(advaltech_bs!AG15)</f>
        <v/>
      </c>
      <c r="AH4">
        <f>_xlfn.NUMBERVALUE(advaltech_bs!AH15)</f>
        <v/>
      </c>
      <c r="AI4">
        <f>_xlfn.NUMBERVALUE(advaltech_bs!AI15)</f>
        <v/>
      </c>
      <c r="AJ4">
        <f>_xlfn.NUMBERVALUE(advaltech_bs!AJ15)</f>
        <v/>
      </c>
      <c r="AK4">
        <f>_xlfn.NUMBERVALUE(advaltech_bs!AK15)</f>
        <v/>
      </c>
      <c r="AL4">
        <f>_xlfn.NUMBERVALUE(advaltech_bs!AL15)</f>
        <v/>
      </c>
      <c r="AM4">
        <f>_xlfn.NUMBERVALUE(advaltech_bs!AM15)</f>
        <v/>
      </c>
      <c r="AN4">
        <f>_xlfn.NUMBERVALUE(advaltech_bs!AN15)</f>
        <v/>
      </c>
      <c r="AO4">
        <f>_xlfn.NUMBERVALUE(advaltech_bs!AO15)</f>
        <v/>
      </c>
      <c r="AP4">
        <f>_xlfn.NUMBERVALUE(advaltech_bs!AP15)</f>
        <v/>
      </c>
      <c r="AQ4">
        <f>_xlfn.NUMBERVALUE(advaltech_bs!AQ15)</f>
        <v/>
      </c>
    </row>
    <row r="5" ht="15" customHeight="1" s="73">
      <c r="A5" s="6" t="inlineStr">
        <is>
          <t>Current Assets</t>
        </is>
      </c>
      <c r="D5" s="7">
        <f>_xlfn.NUMBERVALUE(advaltech_bs!D18)</f>
        <v/>
      </c>
      <c r="E5" s="7">
        <f>_xlfn.NUMBERVALUE(advaltech_bs!E18)</f>
        <v/>
      </c>
      <c r="F5" s="7">
        <f>_xlfn.NUMBERVALUE(advaltech_bs!F18)</f>
        <v/>
      </c>
      <c r="G5" s="7">
        <f>_xlfn.NUMBERVALUE(advaltech_bs!G18)</f>
        <v/>
      </c>
      <c r="H5" s="7">
        <f>_xlfn.NUMBERVALUE(advaltech_bs!H18)</f>
        <v/>
      </c>
      <c r="I5" s="7">
        <f>_xlfn.NUMBERVALUE(advaltech_bs!I18)</f>
        <v/>
      </c>
      <c r="J5" s="7">
        <f>_xlfn.NUMBERVALUE(advaltech_bs!J18)</f>
        <v/>
      </c>
      <c r="K5" s="7">
        <f>_xlfn.NUMBERVALUE(advaltech_bs!K18)</f>
        <v/>
      </c>
      <c r="L5" s="7">
        <f>_xlfn.NUMBERVALUE(advaltech_bs!L18)</f>
        <v/>
      </c>
      <c r="M5" s="7">
        <f>_xlfn.NUMBERVALUE(advaltech_bs!M18)</f>
        <v/>
      </c>
      <c r="N5" s="7">
        <f>_xlfn.NUMBERVALUE(advaltech_bs!N18)</f>
        <v/>
      </c>
      <c r="O5" s="7">
        <f>_xlfn.NUMBERVALUE(advaltech_bs!O18)</f>
        <v/>
      </c>
      <c r="P5" s="7">
        <f>_xlfn.NUMBERVALUE(advaltech_bs!P18)</f>
        <v/>
      </c>
      <c r="Q5" s="7">
        <f>_xlfn.NUMBERVALUE(advaltech_bs!Q18)</f>
        <v/>
      </c>
      <c r="R5" s="7">
        <f>_xlfn.NUMBERVALUE(advaltech_bs!R18)</f>
        <v/>
      </c>
      <c r="S5" s="7">
        <f>_xlfn.NUMBERVALUE(advaltech_bs!S18)</f>
        <v/>
      </c>
      <c r="T5" s="7">
        <f>_xlfn.NUMBERVALUE(advaltech_bs!T18)</f>
        <v/>
      </c>
      <c r="U5" s="7">
        <f>_xlfn.NUMBERVALUE(advaltech_bs!U18)</f>
        <v/>
      </c>
      <c r="V5" s="7">
        <f>_xlfn.NUMBERVALUE(advaltech_bs!V18)</f>
        <v/>
      </c>
      <c r="W5" s="7">
        <f>_xlfn.NUMBERVALUE(advaltech_bs!W18)</f>
        <v/>
      </c>
      <c r="X5">
        <f>_xlfn.NUMBERVALUE(advaltech_bs!X18)</f>
        <v/>
      </c>
      <c r="Y5">
        <f>_xlfn.NUMBERVALUE(advaltech_bs!Y18)</f>
        <v/>
      </c>
      <c r="Z5">
        <f>_xlfn.NUMBERVALUE(advaltech_bs!Z18)</f>
        <v/>
      </c>
      <c r="AA5">
        <f>_xlfn.NUMBERVALUE(advaltech_bs!AA18)</f>
        <v/>
      </c>
      <c r="AB5">
        <f>_xlfn.NUMBERVALUE(advaltech_bs!AB18)</f>
        <v/>
      </c>
      <c r="AC5">
        <f>_xlfn.NUMBERVALUE(advaltech_bs!AC18)</f>
        <v/>
      </c>
      <c r="AD5">
        <f>_xlfn.NUMBERVALUE(advaltech_bs!AD18)</f>
        <v/>
      </c>
      <c r="AE5">
        <f>_xlfn.NUMBERVALUE(advaltech_bs!AE18)</f>
        <v/>
      </c>
      <c r="AF5">
        <f>_xlfn.NUMBERVALUE(advaltech_bs!AF18)</f>
        <v/>
      </c>
      <c r="AG5">
        <f>_xlfn.NUMBERVALUE(advaltech_bs!AG18)</f>
        <v/>
      </c>
      <c r="AH5">
        <f>_xlfn.NUMBERVALUE(advaltech_bs!AH18)</f>
        <v/>
      </c>
      <c r="AI5">
        <f>_xlfn.NUMBERVALUE(advaltech_bs!AI18)</f>
        <v/>
      </c>
      <c r="AJ5">
        <f>_xlfn.NUMBERVALUE(advaltech_bs!AJ18)</f>
        <v/>
      </c>
      <c r="AK5">
        <f>_xlfn.NUMBERVALUE(advaltech_bs!AK18)</f>
        <v/>
      </c>
      <c r="AL5">
        <f>_xlfn.NUMBERVALUE(advaltech_bs!AL18)</f>
        <v/>
      </c>
      <c r="AM5">
        <f>_xlfn.NUMBERVALUE(advaltech_bs!AM18)</f>
        <v/>
      </c>
      <c r="AN5">
        <f>_xlfn.NUMBERVALUE(advaltech_bs!AN18)</f>
        <v/>
      </c>
      <c r="AO5">
        <f>_xlfn.NUMBERVALUE(advaltech_bs!AO18)</f>
        <v/>
      </c>
      <c r="AP5">
        <f>_xlfn.NUMBERVALUE(advaltech_bs!AP18)</f>
        <v/>
      </c>
      <c r="AQ5">
        <f>_xlfn.NUMBERVALUE(advaltech_bs!AQ18)</f>
        <v/>
      </c>
    </row>
    <row r="6" ht="15" customHeight="1" s="73">
      <c r="A6" s="6" t="inlineStr">
        <is>
          <t>Discounted CA</t>
        </is>
      </c>
      <c r="D6" s="8">
        <f>D3*$C$3+$C$4*D4+D2</f>
        <v/>
      </c>
      <c r="E6" s="8">
        <f>E3*$C$3+$C$4*E4+E2</f>
        <v/>
      </c>
      <c r="F6" s="8">
        <f>F3*$C$3+$C$4*F4+F2</f>
        <v/>
      </c>
      <c r="G6" s="8">
        <f>G3*$C$3+$C$4*G4+G2</f>
        <v/>
      </c>
      <c r="H6" s="8">
        <f>H3*$C$3+$C$4*H4+H2</f>
        <v/>
      </c>
      <c r="I6" s="8">
        <f>I3*$C$3+$C$4*I4+I2</f>
        <v/>
      </c>
      <c r="J6" s="8">
        <f>J3*$C$3+$C$4*J4+J2</f>
        <v/>
      </c>
      <c r="K6" s="8">
        <f>K3*$C$3+$C$4*K4+K2</f>
        <v/>
      </c>
      <c r="L6" s="8">
        <f>L3*$C$3+$C$4*L4+L2</f>
        <v/>
      </c>
      <c r="M6" s="8">
        <f>M3*$C$3+$C$4*M4+M2</f>
        <v/>
      </c>
      <c r="N6" s="8">
        <f>N3*$C$3+$C$4*N4+N2</f>
        <v/>
      </c>
      <c r="O6" s="8">
        <f>O3*$C$3+$C$4*O4+O2</f>
        <v/>
      </c>
      <c r="P6" s="8">
        <f>P3*$C$3+$C$4*P4+P2</f>
        <v/>
      </c>
      <c r="Q6" s="8">
        <f>Q3*$C$3+$C$4*Q4+Q2</f>
        <v/>
      </c>
      <c r="R6" s="8">
        <f>R3*$C$3+$C$4*R4+R2</f>
        <v/>
      </c>
      <c r="S6" s="8">
        <f>S3*$C$3+$C$4*S4+S2</f>
        <v/>
      </c>
      <c r="T6" s="8">
        <f>T3*$C$3+$C$4*T4+T2</f>
        <v/>
      </c>
      <c r="U6" s="8">
        <f>U3*$C$3+$C$4*U4+U2</f>
        <v/>
      </c>
      <c r="V6" s="8">
        <f>V3*$C$3+$C$4*V4+V2</f>
        <v/>
      </c>
      <c r="W6" s="8">
        <f>W3*$C$3+$C$4*W4+W2</f>
        <v/>
      </c>
      <c r="X6">
        <f>X3*$C$3+$C$4*X4+X2</f>
        <v/>
      </c>
      <c r="Y6">
        <f>Y3*$C$3+$C$4*Y4+Y2</f>
        <v/>
      </c>
      <c r="Z6">
        <f>Z3*$C$3+$C$4*Z4+Z2</f>
        <v/>
      </c>
      <c r="AA6">
        <f>AA3*$C$3+$C$4*AA4+AA2</f>
        <v/>
      </c>
      <c r="AB6">
        <f>AB3*$C$3+$C$4*AB4+AB2</f>
        <v/>
      </c>
      <c r="AC6">
        <f>AC3*$C$3+$C$4*AC4+AC2</f>
        <v/>
      </c>
      <c r="AD6">
        <f>AD3*$C$3+$C$4*AD4+AD2</f>
        <v/>
      </c>
      <c r="AE6">
        <f>AE3*$C$3+$C$4*AE4+AE2</f>
        <v/>
      </c>
      <c r="AF6">
        <f>AF3*$C$3+$C$4*AF4+AF2</f>
        <v/>
      </c>
      <c r="AG6">
        <f>AG3*$C$3+$C$4*AG4+AG2</f>
        <v/>
      </c>
      <c r="AH6">
        <f>AH3*$C$3+$C$4*AH4+AH2</f>
        <v/>
      </c>
      <c r="AI6">
        <f>AI3*$C$3+$C$4*AI4+AI2</f>
        <v/>
      </c>
      <c r="AJ6">
        <f>AJ3*$C$3+$C$4*AJ4+AJ2</f>
        <v/>
      </c>
      <c r="AK6">
        <f>AK3*$C$3+$C$4*AK4+AK2</f>
        <v/>
      </c>
      <c r="AL6">
        <f>AL3*$C$3+$C$4*AL4+AL2</f>
        <v/>
      </c>
      <c r="AM6">
        <f>AM3*$C$3+$C$4*AM4+AM2</f>
        <v/>
      </c>
      <c r="AN6">
        <f>AN3*$C$3+$C$4*AN4+AN2</f>
        <v/>
      </c>
      <c r="AO6">
        <f>AO3*$C$3+$C$4*AO4+AO2</f>
        <v/>
      </c>
      <c r="AP6">
        <f>AP3*$C$3+$C$4*AP4+AP2</f>
        <v/>
      </c>
      <c r="AQ6">
        <f>AQ3*$C$3+$C$4*AQ4+AQ2</f>
        <v/>
      </c>
    </row>
    <row r="7"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>
      <c r="A9" s="6" t="inlineStr">
        <is>
          <t>Total Assets</t>
        </is>
      </c>
      <c r="D9" s="7">
        <f>_xlfn.NUMBERVALUE(advaltech_bs!D27)</f>
        <v/>
      </c>
      <c r="E9" s="7">
        <f>_xlfn.NUMBERVALUE(advaltech_bs!E27)</f>
        <v/>
      </c>
      <c r="F9" s="7">
        <f>_xlfn.NUMBERVALUE(advaltech_bs!F27)</f>
        <v/>
      </c>
      <c r="G9" s="7">
        <f>_xlfn.NUMBERVALUE(advaltech_bs!G27)</f>
        <v/>
      </c>
      <c r="H9" s="7">
        <f>_xlfn.NUMBERVALUE(advaltech_bs!H27)</f>
        <v/>
      </c>
      <c r="I9" s="7">
        <f>_xlfn.NUMBERVALUE(advaltech_bs!I27)</f>
        <v/>
      </c>
      <c r="J9" s="7">
        <f>_xlfn.NUMBERVALUE(advaltech_bs!J27)</f>
        <v/>
      </c>
      <c r="K9" s="7">
        <f>_xlfn.NUMBERVALUE(advaltech_bs!K27)</f>
        <v/>
      </c>
      <c r="L9" s="7">
        <f>_xlfn.NUMBERVALUE(advaltech_bs!L27)</f>
        <v/>
      </c>
      <c r="M9" s="7">
        <f>_xlfn.NUMBERVALUE(advaltech_bs!M27)</f>
        <v/>
      </c>
      <c r="N9" s="7">
        <f>_xlfn.NUMBERVALUE(advaltech_bs!N27)</f>
        <v/>
      </c>
      <c r="O9" s="7">
        <f>_xlfn.NUMBERVALUE(advaltech_bs!O27)</f>
        <v/>
      </c>
      <c r="P9" s="7">
        <f>_xlfn.NUMBERVALUE(advaltech_bs!P27)</f>
        <v/>
      </c>
      <c r="Q9" s="7">
        <f>_xlfn.NUMBERVALUE(advaltech_bs!Q27)</f>
        <v/>
      </c>
      <c r="R9" s="7">
        <f>_xlfn.NUMBERVALUE(advaltech_bs!R27)</f>
        <v/>
      </c>
      <c r="S9" s="7">
        <f>_xlfn.NUMBERVALUE(advaltech_bs!S27)</f>
        <v/>
      </c>
      <c r="T9" s="7">
        <f>_xlfn.NUMBERVALUE(advaltech_bs!T27)</f>
        <v/>
      </c>
      <c r="U9" s="7">
        <f>_xlfn.NUMBERVALUE(advaltech_bs!U27)</f>
        <v/>
      </c>
      <c r="V9" s="7">
        <f>_xlfn.NUMBERVALUE(advaltech_bs!V27)</f>
        <v/>
      </c>
      <c r="W9" s="7">
        <f>_xlfn.NUMBERVALUE(advaltech_bs!W27)</f>
        <v/>
      </c>
      <c r="X9" s="7">
        <f>_xlfn.NUMBERVALUE(advaltech_bs!X27)</f>
        <v/>
      </c>
      <c r="Y9" s="7">
        <f>_xlfn.NUMBERVALUE(advaltech_bs!Y27)</f>
        <v/>
      </c>
      <c r="Z9" s="7">
        <f>_xlfn.NUMBERVALUE(advaltech_bs!Z27)</f>
        <v/>
      </c>
      <c r="AA9" s="7">
        <f>_xlfn.NUMBERVALUE(advaltech_bs!AA27)</f>
        <v/>
      </c>
      <c r="AB9" s="7">
        <f>_xlfn.NUMBERVALUE(advaltech_bs!AB27)</f>
        <v/>
      </c>
      <c r="AC9" s="7">
        <f>_xlfn.NUMBERVALUE(advaltech_bs!AC27)</f>
        <v/>
      </c>
      <c r="AD9" s="7">
        <f>_xlfn.NUMBERVALUE(advaltech_bs!AD27)</f>
        <v/>
      </c>
      <c r="AE9" s="7">
        <f>_xlfn.NUMBERVALUE(advaltech_bs!AE27)</f>
        <v/>
      </c>
      <c r="AF9" s="7">
        <f>_xlfn.NUMBERVALUE(advaltech_bs!AF27)</f>
        <v/>
      </c>
      <c r="AG9" s="7">
        <f>_xlfn.NUMBERVALUE(advaltech_bs!AG27)</f>
        <v/>
      </c>
      <c r="AH9" s="7">
        <f>_xlfn.NUMBERVALUE(advaltech_bs!AH27)</f>
        <v/>
      </c>
      <c r="AI9" s="7">
        <f>_xlfn.NUMBERVALUE(advaltech_bs!AI27)</f>
        <v/>
      </c>
      <c r="AJ9" s="7">
        <f>_xlfn.NUMBERVALUE(advaltech_bs!AJ27)</f>
        <v/>
      </c>
      <c r="AK9" s="7">
        <f>_xlfn.NUMBERVALUE(advaltech_bs!AK27)</f>
        <v/>
      </c>
      <c r="AL9" s="7">
        <f>_xlfn.NUMBERVALUE(advaltech_bs!AL27)</f>
        <v/>
      </c>
      <c r="AM9" s="7">
        <f>_xlfn.NUMBERVALUE(advaltech_bs!AM27)</f>
        <v/>
      </c>
      <c r="AN9" s="7">
        <f>_xlfn.NUMBERVALUE(advaltech_bs!AN27)</f>
        <v/>
      </c>
      <c r="AO9" s="7">
        <f>_xlfn.NUMBERVALUE(advaltech_bs!AO27)</f>
        <v/>
      </c>
      <c r="AP9" s="7">
        <f>_xlfn.NUMBERVALUE(advaltech_bs!AP27)</f>
        <v/>
      </c>
      <c r="AQ9" s="7">
        <f>_xlfn.NUMBERVALUE(advaltech_bs!AQ27)</f>
        <v/>
      </c>
    </row>
    <row r="10">
      <c r="A10" s="6" t="inlineStr">
        <is>
          <t>Intangible Assets</t>
        </is>
      </c>
      <c r="D10" s="7">
        <f>_xlfn.NUMBERVALUE(SUM(advaltech_bs!D24:D25))</f>
        <v/>
      </c>
      <c r="E10" s="7">
        <f>_xlfn.NUMBERVALUE(SUM(advaltech_bs!E24:E25))</f>
        <v/>
      </c>
      <c r="F10" s="7">
        <f>_xlfn.NUMBERVALUE(SUM(advaltech_bs!F24:F25))</f>
        <v/>
      </c>
      <c r="G10" s="7">
        <f>_xlfn.NUMBERVALUE(SUM(advaltech_bs!G24:G25))</f>
        <v/>
      </c>
      <c r="H10" s="7">
        <f>_xlfn.NUMBERVALUE(SUM(advaltech_bs!H24:H25))</f>
        <v/>
      </c>
      <c r="I10" s="7">
        <f>_xlfn.NUMBERVALUE(SUM(advaltech_bs!I24:I25))</f>
        <v/>
      </c>
      <c r="J10" s="7">
        <f>_xlfn.NUMBERVALUE(SUM(advaltech_bs!J24:J25))</f>
        <v/>
      </c>
      <c r="K10" s="7">
        <f>_xlfn.NUMBERVALUE(SUM(advaltech_bs!K24:K25))</f>
        <v/>
      </c>
      <c r="L10" s="7">
        <f>_xlfn.NUMBERVALUE(SUM(advaltech_bs!L24:L25))</f>
        <v/>
      </c>
      <c r="M10" s="7">
        <f>_xlfn.NUMBERVALUE(SUM(advaltech_bs!M24:M25))</f>
        <v/>
      </c>
      <c r="N10" s="7">
        <f>_xlfn.NUMBERVALUE(SUM(advaltech_bs!N24:N25))</f>
        <v/>
      </c>
      <c r="O10" s="7">
        <f>_xlfn.NUMBERVALUE(SUM(advaltech_bs!O24:O25))</f>
        <v/>
      </c>
      <c r="P10" s="7">
        <f>_xlfn.NUMBERVALUE(SUM(advaltech_bs!P24:P25))</f>
        <v/>
      </c>
      <c r="Q10" s="7">
        <f>_xlfn.NUMBERVALUE(SUM(advaltech_bs!Q24:Q25))</f>
        <v/>
      </c>
      <c r="R10" s="7">
        <f>_xlfn.NUMBERVALUE(SUM(advaltech_bs!R24:R25))</f>
        <v/>
      </c>
      <c r="S10" s="7">
        <f>_xlfn.NUMBERVALUE(SUM(advaltech_bs!S24:S25))</f>
        <v/>
      </c>
      <c r="T10" s="7">
        <f>_xlfn.NUMBERVALUE(SUM(advaltech_bs!T24:T25))</f>
        <v/>
      </c>
      <c r="U10" s="7">
        <f>_xlfn.NUMBERVALUE(SUM(advaltech_bs!U24:U25))</f>
        <v/>
      </c>
      <c r="V10" s="7">
        <f>_xlfn.NUMBERVALUE(SUM(advaltech_bs!V24:V25))</f>
        <v/>
      </c>
      <c r="W10" s="7">
        <f>_xlfn.NUMBERVALUE(SUM(advaltech_bs!W24:W25))</f>
        <v/>
      </c>
      <c r="X10" s="7">
        <f>_xlfn.NUMBERVALUE(SUM(advaltech_bs!X24:X25))</f>
        <v/>
      </c>
      <c r="Y10" s="7">
        <f>_xlfn.NUMBERVALUE(SUM(advaltech_bs!Y24:Y25))</f>
        <v/>
      </c>
      <c r="Z10" s="7">
        <f>_xlfn.NUMBERVALUE(SUM(advaltech_bs!Z24:Z25))</f>
        <v/>
      </c>
      <c r="AA10" s="7">
        <f>_xlfn.NUMBERVALUE(SUM(advaltech_bs!AA24:AA25))</f>
        <v/>
      </c>
      <c r="AB10" s="7">
        <f>_xlfn.NUMBERVALUE(SUM(advaltech_bs!AB24:AB25))</f>
        <v/>
      </c>
      <c r="AC10" s="7">
        <f>_xlfn.NUMBERVALUE(SUM(advaltech_bs!AC24:AC25))</f>
        <v/>
      </c>
      <c r="AD10" s="7">
        <f>_xlfn.NUMBERVALUE(SUM(advaltech_bs!AD24:AD25))</f>
        <v/>
      </c>
      <c r="AE10" s="7">
        <f>_xlfn.NUMBERVALUE(SUM(advaltech_bs!AE24:AE25))</f>
        <v/>
      </c>
      <c r="AF10" s="7">
        <f>_xlfn.NUMBERVALUE(SUM(advaltech_bs!AF24:AF25))</f>
        <v/>
      </c>
      <c r="AG10" s="7">
        <f>_xlfn.NUMBERVALUE(SUM(advaltech_bs!AG24:AG25))</f>
        <v/>
      </c>
      <c r="AH10" s="7">
        <f>_xlfn.NUMBERVALUE(SUM(advaltech_bs!AH24:AH25))</f>
        <v/>
      </c>
      <c r="AI10" s="7">
        <f>_xlfn.NUMBERVALUE(SUM(advaltech_bs!AI24:AI25))</f>
        <v/>
      </c>
      <c r="AJ10" s="7">
        <f>_xlfn.NUMBERVALUE(SUM(advaltech_bs!AJ24:AJ25))</f>
        <v/>
      </c>
      <c r="AK10" s="7">
        <f>_xlfn.NUMBERVALUE(SUM(advaltech_bs!AK24:AK25))</f>
        <v/>
      </c>
      <c r="AL10" s="7">
        <f>_xlfn.NUMBERVALUE(SUM(advaltech_bs!AL24:AL25))</f>
        <v/>
      </c>
      <c r="AM10" s="7">
        <f>_xlfn.NUMBERVALUE(SUM(advaltech_bs!AM24:AM25))</f>
        <v/>
      </c>
      <c r="AN10" s="7">
        <f>_xlfn.NUMBERVALUE(SUM(advaltech_bs!AN24:AN25))</f>
        <v/>
      </c>
      <c r="AO10" s="7">
        <f>_xlfn.NUMBERVALUE(SUM(advaltech_bs!AO24:AO25))</f>
        <v/>
      </c>
      <c r="AP10" s="7">
        <f>_xlfn.NUMBERVALUE(SUM(advaltech_bs!AP24:AP25))</f>
        <v/>
      </c>
      <c r="AQ10" s="7">
        <f>_xlfn.NUMBERVALUE(SUM(advaltech_bs!AQ24:AQ25))</f>
        <v/>
      </c>
    </row>
    <row r="11"/>
    <row r="12">
      <c r="A12" s="6" t="inlineStr">
        <is>
          <t>Current Liabilities</t>
        </is>
      </c>
      <c r="D12" s="7">
        <f>_xlfn.NUMBERVALUE(advaltech_bs!D35)</f>
        <v/>
      </c>
      <c r="E12" s="7">
        <f>_xlfn.NUMBERVALUE(advaltech_bs!E35)</f>
        <v/>
      </c>
      <c r="F12" s="7">
        <f>_xlfn.NUMBERVALUE(advaltech_bs!F35)</f>
        <v/>
      </c>
      <c r="G12" s="7">
        <f>_xlfn.NUMBERVALUE(advaltech_bs!G35)</f>
        <v/>
      </c>
      <c r="H12" s="7">
        <f>_xlfn.NUMBERVALUE(advaltech_bs!H35)</f>
        <v/>
      </c>
      <c r="I12" s="7">
        <f>_xlfn.NUMBERVALUE(advaltech_bs!I35)</f>
        <v/>
      </c>
      <c r="J12" s="7">
        <f>_xlfn.NUMBERVALUE(advaltech_bs!J35)</f>
        <v/>
      </c>
      <c r="K12" s="7">
        <f>_xlfn.NUMBERVALUE(advaltech_bs!K35)</f>
        <v/>
      </c>
      <c r="L12" s="7">
        <f>_xlfn.NUMBERVALUE(advaltech_bs!L35)</f>
        <v/>
      </c>
      <c r="M12" s="7">
        <f>_xlfn.NUMBERVALUE(advaltech_bs!M35)</f>
        <v/>
      </c>
      <c r="N12" s="7">
        <f>_xlfn.NUMBERVALUE(advaltech_bs!N35)</f>
        <v/>
      </c>
      <c r="O12" s="7">
        <f>_xlfn.NUMBERVALUE(advaltech_bs!O35)</f>
        <v/>
      </c>
      <c r="P12" s="7">
        <f>_xlfn.NUMBERVALUE(advaltech_bs!P35)</f>
        <v/>
      </c>
      <c r="Q12" s="7">
        <f>_xlfn.NUMBERVALUE(advaltech_bs!Q35)</f>
        <v/>
      </c>
      <c r="R12" s="7">
        <f>_xlfn.NUMBERVALUE(advaltech_bs!R35)</f>
        <v/>
      </c>
      <c r="S12" s="7">
        <f>_xlfn.NUMBERVALUE(advaltech_bs!S35)</f>
        <v/>
      </c>
      <c r="T12" s="7">
        <f>_xlfn.NUMBERVALUE(advaltech_bs!T35)</f>
        <v/>
      </c>
      <c r="U12" s="7">
        <f>_xlfn.NUMBERVALUE(advaltech_bs!U35)</f>
        <v/>
      </c>
      <c r="V12" s="7">
        <f>_xlfn.NUMBERVALUE(advaltech_bs!V35)</f>
        <v/>
      </c>
      <c r="W12" s="7">
        <f>_xlfn.NUMBERVALUE(advaltech_bs!W35)</f>
        <v/>
      </c>
      <c r="X12" s="7">
        <f>_xlfn.NUMBERVALUE(advaltech_bs!X35)</f>
        <v/>
      </c>
      <c r="Y12" s="7">
        <f>_xlfn.NUMBERVALUE(advaltech_bs!Y35)</f>
        <v/>
      </c>
      <c r="Z12" s="7">
        <f>_xlfn.NUMBERVALUE(advaltech_bs!Z35)</f>
        <v/>
      </c>
      <c r="AA12" s="7">
        <f>_xlfn.NUMBERVALUE(advaltech_bs!AA35)</f>
        <v/>
      </c>
      <c r="AB12" s="7">
        <f>_xlfn.NUMBERVALUE(advaltech_bs!AB35)</f>
        <v/>
      </c>
      <c r="AC12" s="7">
        <f>_xlfn.NUMBERVALUE(advaltech_bs!AC35)</f>
        <v/>
      </c>
      <c r="AD12" s="7">
        <f>_xlfn.NUMBERVALUE(advaltech_bs!AD35)</f>
        <v/>
      </c>
      <c r="AE12" s="7">
        <f>_xlfn.NUMBERVALUE(advaltech_bs!AE35)</f>
        <v/>
      </c>
      <c r="AF12" s="7">
        <f>_xlfn.NUMBERVALUE(advaltech_bs!AF35)</f>
        <v/>
      </c>
      <c r="AG12" s="7">
        <f>_xlfn.NUMBERVALUE(advaltech_bs!AG35)</f>
        <v/>
      </c>
      <c r="AH12" s="7">
        <f>_xlfn.NUMBERVALUE(advaltech_bs!AH35)</f>
        <v/>
      </c>
      <c r="AI12" s="7">
        <f>_xlfn.NUMBERVALUE(advaltech_bs!AI35)</f>
        <v/>
      </c>
      <c r="AJ12" s="7">
        <f>_xlfn.NUMBERVALUE(advaltech_bs!AJ35)</f>
        <v/>
      </c>
      <c r="AK12" s="7">
        <f>_xlfn.NUMBERVALUE(advaltech_bs!AK35)</f>
        <v/>
      </c>
      <c r="AL12" s="7">
        <f>_xlfn.NUMBERVALUE(advaltech_bs!AL35)</f>
        <v/>
      </c>
      <c r="AM12" s="7">
        <f>_xlfn.NUMBERVALUE(advaltech_bs!AM35)</f>
        <v/>
      </c>
      <c r="AN12" s="7">
        <f>_xlfn.NUMBERVALUE(advaltech_bs!AN35)</f>
        <v/>
      </c>
      <c r="AO12" s="7">
        <f>_xlfn.NUMBERVALUE(advaltech_bs!AO35)</f>
        <v/>
      </c>
      <c r="AP12" s="7">
        <f>_xlfn.NUMBERVALUE(advaltech_bs!AP35)</f>
        <v/>
      </c>
      <c r="AQ12" s="7">
        <f>_xlfn.NUMBERVALUE(advaltech_bs!AQ35)</f>
        <v/>
      </c>
    </row>
    <row r="13">
      <c r="A13" s="6" t="inlineStr">
        <is>
          <t>Total Liabilities</t>
        </is>
      </c>
      <c r="D13" s="7">
        <f>_xlfn.NUMBERVALUE(advaltech_bs!D40)</f>
        <v/>
      </c>
      <c r="E13" s="7">
        <f>_xlfn.NUMBERVALUE(advaltech_bs!E40)</f>
        <v/>
      </c>
      <c r="F13" s="7">
        <f>_xlfn.NUMBERVALUE(advaltech_bs!F40)</f>
        <v/>
      </c>
      <c r="G13" s="7">
        <f>_xlfn.NUMBERVALUE(advaltech_bs!G40)</f>
        <v/>
      </c>
      <c r="H13" s="7">
        <f>_xlfn.NUMBERVALUE(advaltech_bs!H40)</f>
        <v/>
      </c>
      <c r="I13" s="7">
        <f>_xlfn.NUMBERVALUE(advaltech_bs!I40)</f>
        <v/>
      </c>
      <c r="J13" s="7">
        <f>_xlfn.NUMBERVALUE(advaltech_bs!J40)</f>
        <v/>
      </c>
      <c r="K13" s="7">
        <f>_xlfn.NUMBERVALUE(advaltech_bs!K40)</f>
        <v/>
      </c>
      <c r="L13" s="7">
        <f>_xlfn.NUMBERVALUE(advaltech_bs!L40)</f>
        <v/>
      </c>
      <c r="M13" s="7">
        <f>_xlfn.NUMBERVALUE(advaltech_bs!M40)</f>
        <v/>
      </c>
      <c r="N13" s="7">
        <f>_xlfn.NUMBERVALUE(advaltech_bs!N40)</f>
        <v/>
      </c>
      <c r="O13" s="7">
        <f>_xlfn.NUMBERVALUE(advaltech_bs!O40)</f>
        <v/>
      </c>
      <c r="P13" s="7">
        <f>_xlfn.NUMBERVALUE(advaltech_bs!P40)</f>
        <v/>
      </c>
      <c r="Q13" s="7">
        <f>_xlfn.NUMBERVALUE(advaltech_bs!Q40)</f>
        <v/>
      </c>
      <c r="R13" s="7">
        <f>_xlfn.NUMBERVALUE(advaltech_bs!R40)</f>
        <v/>
      </c>
      <c r="S13" s="7">
        <f>_xlfn.NUMBERVALUE(advaltech_bs!S40)</f>
        <v/>
      </c>
      <c r="T13" s="7">
        <f>_xlfn.NUMBERVALUE(advaltech_bs!T40)</f>
        <v/>
      </c>
      <c r="U13" s="7">
        <f>_xlfn.NUMBERVALUE(advaltech_bs!U40)</f>
        <v/>
      </c>
      <c r="V13" s="7">
        <f>_xlfn.NUMBERVALUE(advaltech_bs!V40)</f>
        <v/>
      </c>
      <c r="W13" s="7">
        <f>_xlfn.NUMBERVALUE(advaltech_bs!W40)</f>
        <v/>
      </c>
      <c r="X13" s="7">
        <f>_xlfn.NUMBERVALUE(advaltech_bs!X40)</f>
        <v/>
      </c>
      <c r="Y13" s="7">
        <f>_xlfn.NUMBERVALUE(advaltech_bs!Y40)</f>
        <v/>
      </c>
      <c r="Z13" s="7">
        <f>_xlfn.NUMBERVALUE(advaltech_bs!Z40)</f>
        <v/>
      </c>
      <c r="AA13" s="7">
        <f>_xlfn.NUMBERVALUE(advaltech_bs!AA40)</f>
        <v/>
      </c>
      <c r="AB13" s="7">
        <f>_xlfn.NUMBERVALUE(advaltech_bs!AB40)</f>
        <v/>
      </c>
      <c r="AC13" s="7">
        <f>_xlfn.NUMBERVALUE(advaltech_bs!AC40)</f>
        <v/>
      </c>
      <c r="AD13" s="7">
        <f>_xlfn.NUMBERVALUE(advaltech_bs!AD40)</f>
        <v/>
      </c>
      <c r="AE13" s="7">
        <f>_xlfn.NUMBERVALUE(advaltech_bs!AE40)</f>
        <v/>
      </c>
      <c r="AF13" s="7">
        <f>_xlfn.NUMBERVALUE(advaltech_bs!AF40)</f>
        <v/>
      </c>
      <c r="AG13" s="7">
        <f>_xlfn.NUMBERVALUE(advaltech_bs!AG40)</f>
        <v/>
      </c>
      <c r="AH13" s="7">
        <f>_xlfn.NUMBERVALUE(advaltech_bs!AH40)</f>
        <v/>
      </c>
      <c r="AI13" s="7">
        <f>_xlfn.NUMBERVALUE(advaltech_bs!AI40)</f>
        <v/>
      </c>
      <c r="AJ13" s="7">
        <f>_xlfn.NUMBERVALUE(advaltech_bs!AJ40)</f>
        <v/>
      </c>
      <c r="AK13" s="7">
        <f>_xlfn.NUMBERVALUE(advaltech_bs!AK40)</f>
        <v/>
      </c>
      <c r="AL13" s="7">
        <f>_xlfn.NUMBERVALUE(advaltech_bs!AL40)</f>
        <v/>
      </c>
      <c r="AM13" s="7">
        <f>_xlfn.NUMBERVALUE(advaltech_bs!AM40)</f>
        <v/>
      </c>
      <c r="AN13" s="7">
        <f>_xlfn.NUMBERVALUE(advaltech_bs!AN40)</f>
        <v/>
      </c>
      <c r="AO13" s="7">
        <f>_xlfn.NUMBERVALUE(advaltech_bs!AO40)</f>
        <v/>
      </c>
      <c r="AP13" s="7">
        <f>_xlfn.NUMBERVALUE(advaltech_bs!AP40)</f>
        <v/>
      </c>
      <c r="AQ13" s="7">
        <f>_xlfn.NUMBERVALUE(advaltech_bs!AQ40)</f>
        <v/>
      </c>
    </row>
    <row r="14"/>
    <row r="15">
      <c r="A15" s="6" t="inlineStr">
        <is>
          <t>Debt</t>
        </is>
      </c>
      <c r="D15" s="7">
        <f>_xlfn.NUMBERVALUE(advaltech_bs!D32)+_xlfn.NUMBERVALUE(advaltech_bs!D37)+_xlfn.NUMBERVALUE(advaltech_bs!D31)</f>
        <v/>
      </c>
      <c r="E15" s="7">
        <f>_xlfn.NUMBERVALUE(advaltech_bs!E32)+_xlfn.NUMBERVALUE(advaltech_bs!E37)+_xlfn.NUMBERVALUE(advaltech_bs!E31)</f>
        <v/>
      </c>
      <c r="F15" s="7">
        <f>_xlfn.NUMBERVALUE(advaltech_bs!F32)+_xlfn.NUMBERVALUE(advaltech_bs!F37)+_xlfn.NUMBERVALUE(advaltech_bs!F31)</f>
        <v/>
      </c>
      <c r="G15" s="7">
        <f>_xlfn.NUMBERVALUE(advaltech_bs!G32)+_xlfn.NUMBERVALUE(advaltech_bs!G37)+_xlfn.NUMBERVALUE(advaltech_bs!G31)</f>
        <v/>
      </c>
      <c r="H15" s="7">
        <f>_xlfn.NUMBERVALUE(advaltech_bs!H32)+_xlfn.NUMBERVALUE(advaltech_bs!H37)+_xlfn.NUMBERVALUE(advaltech_bs!H31)</f>
        <v/>
      </c>
      <c r="I15" s="7">
        <f>_xlfn.NUMBERVALUE(advaltech_bs!I32)+_xlfn.NUMBERVALUE(advaltech_bs!I37)+_xlfn.NUMBERVALUE(advaltech_bs!I31)</f>
        <v/>
      </c>
      <c r="J15" s="7">
        <f>_xlfn.NUMBERVALUE(advaltech_bs!J32)+_xlfn.NUMBERVALUE(advaltech_bs!J37)+_xlfn.NUMBERVALUE(advaltech_bs!J31)</f>
        <v/>
      </c>
      <c r="K15" s="7">
        <f>_xlfn.NUMBERVALUE(advaltech_bs!K32)+_xlfn.NUMBERVALUE(advaltech_bs!K37)+_xlfn.NUMBERVALUE(advaltech_bs!K31)</f>
        <v/>
      </c>
      <c r="L15" s="7">
        <f>_xlfn.NUMBERVALUE(advaltech_bs!L32)+_xlfn.NUMBERVALUE(advaltech_bs!L37)+_xlfn.NUMBERVALUE(advaltech_bs!L31)</f>
        <v/>
      </c>
      <c r="M15" s="7">
        <f>_xlfn.NUMBERVALUE(advaltech_bs!M32)+_xlfn.NUMBERVALUE(advaltech_bs!M37)+_xlfn.NUMBERVALUE(advaltech_bs!M31)</f>
        <v/>
      </c>
      <c r="N15" s="7">
        <f>_xlfn.NUMBERVALUE(advaltech_bs!N32)+_xlfn.NUMBERVALUE(advaltech_bs!N37)+_xlfn.NUMBERVALUE(advaltech_bs!N31)</f>
        <v/>
      </c>
      <c r="O15" s="7">
        <f>_xlfn.NUMBERVALUE(advaltech_bs!O32)+_xlfn.NUMBERVALUE(advaltech_bs!O37)+_xlfn.NUMBERVALUE(advaltech_bs!O31)</f>
        <v/>
      </c>
      <c r="P15" s="7">
        <f>_xlfn.NUMBERVALUE(advaltech_bs!P32)+_xlfn.NUMBERVALUE(advaltech_bs!P37)+_xlfn.NUMBERVALUE(advaltech_bs!P31)</f>
        <v/>
      </c>
      <c r="Q15" s="7">
        <f>_xlfn.NUMBERVALUE(advaltech_bs!Q32)+_xlfn.NUMBERVALUE(advaltech_bs!Q37)+_xlfn.NUMBERVALUE(advaltech_bs!Q31)</f>
        <v/>
      </c>
      <c r="R15" s="7">
        <f>_xlfn.NUMBERVALUE(advaltech_bs!R32)+_xlfn.NUMBERVALUE(advaltech_bs!R37)+_xlfn.NUMBERVALUE(advaltech_bs!R31)</f>
        <v/>
      </c>
      <c r="S15" s="7">
        <f>_xlfn.NUMBERVALUE(advaltech_bs!S32)+_xlfn.NUMBERVALUE(advaltech_bs!S37)+_xlfn.NUMBERVALUE(advaltech_bs!S31)</f>
        <v/>
      </c>
      <c r="T15" s="7">
        <f>_xlfn.NUMBERVALUE(advaltech_bs!T32)+_xlfn.NUMBERVALUE(advaltech_bs!T37)+_xlfn.NUMBERVALUE(advaltech_bs!T31)</f>
        <v/>
      </c>
      <c r="U15" s="7">
        <f>_xlfn.NUMBERVALUE(advaltech_bs!U32)+_xlfn.NUMBERVALUE(advaltech_bs!U37)+_xlfn.NUMBERVALUE(advaltech_bs!U31)</f>
        <v/>
      </c>
      <c r="V15" s="7">
        <f>_xlfn.NUMBERVALUE(advaltech_bs!V32)+_xlfn.NUMBERVALUE(advaltech_bs!V37)+_xlfn.NUMBERVALUE(advaltech_bs!V31)</f>
        <v/>
      </c>
      <c r="W15" s="7">
        <f>_xlfn.NUMBERVALUE(advaltech_bs!W32)+_xlfn.NUMBERVALUE(advaltech_bs!W37)+_xlfn.NUMBERVALUE(advaltech_bs!W31)</f>
        <v/>
      </c>
      <c r="X15" s="7">
        <f>_xlfn.NUMBERVALUE(advaltech_bs!X32)+_xlfn.NUMBERVALUE(advaltech_bs!X37)+_xlfn.NUMBERVALUE(advaltech_bs!X31)</f>
        <v/>
      </c>
      <c r="Y15" s="7">
        <f>_xlfn.NUMBERVALUE(advaltech_bs!Y32)+_xlfn.NUMBERVALUE(advaltech_bs!Y37)+_xlfn.NUMBERVALUE(advaltech_bs!Y31)</f>
        <v/>
      </c>
      <c r="Z15" s="7">
        <f>_xlfn.NUMBERVALUE(advaltech_bs!Z32)+_xlfn.NUMBERVALUE(advaltech_bs!Z37)+_xlfn.NUMBERVALUE(advaltech_bs!Z31)</f>
        <v/>
      </c>
      <c r="AA15" s="7">
        <f>_xlfn.NUMBERVALUE(advaltech_bs!AA32)+_xlfn.NUMBERVALUE(advaltech_bs!AA37)+_xlfn.NUMBERVALUE(advaltech_bs!AA31)</f>
        <v/>
      </c>
      <c r="AB15" s="7">
        <f>_xlfn.NUMBERVALUE(advaltech_bs!AB32)+_xlfn.NUMBERVALUE(advaltech_bs!AB37)+_xlfn.NUMBERVALUE(advaltech_bs!AB31)</f>
        <v/>
      </c>
      <c r="AC15" s="7">
        <f>_xlfn.NUMBERVALUE(advaltech_bs!AC32)+_xlfn.NUMBERVALUE(advaltech_bs!AC37)+_xlfn.NUMBERVALUE(advaltech_bs!AC31)</f>
        <v/>
      </c>
      <c r="AD15" s="7">
        <f>_xlfn.NUMBERVALUE(advaltech_bs!AD32)+_xlfn.NUMBERVALUE(advaltech_bs!AD37)+_xlfn.NUMBERVALUE(advaltech_bs!AD31)</f>
        <v/>
      </c>
      <c r="AE15" s="7">
        <f>_xlfn.NUMBERVALUE(advaltech_bs!AE32)+_xlfn.NUMBERVALUE(advaltech_bs!AE37)+_xlfn.NUMBERVALUE(advaltech_bs!AE31)</f>
        <v/>
      </c>
      <c r="AF15" s="7">
        <f>_xlfn.NUMBERVALUE(advaltech_bs!AF32)+_xlfn.NUMBERVALUE(advaltech_bs!AF37)+_xlfn.NUMBERVALUE(advaltech_bs!AF31)</f>
        <v/>
      </c>
      <c r="AG15" s="7">
        <f>_xlfn.NUMBERVALUE(advaltech_bs!AG32)+_xlfn.NUMBERVALUE(advaltech_bs!AG37)+_xlfn.NUMBERVALUE(advaltech_bs!AG31)</f>
        <v/>
      </c>
      <c r="AH15" s="7">
        <f>_xlfn.NUMBERVALUE(advaltech_bs!AH32)+_xlfn.NUMBERVALUE(advaltech_bs!AH37)+_xlfn.NUMBERVALUE(advaltech_bs!AH31)</f>
        <v/>
      </c>
      <c r="AI15" s="7">
        <f>_xlfn.NUMBERVALUE(advaltech_bs!AI32)+_xlfn.NUMBERVALUE(advaltech_bs!AI37)+_xlfn.NUMBERVALUE(advaltech_bs!AI31)</f>
        <v/>
      </c>
      <c r="AJ15" s="7">
        <f>_xlfn.NUMBERVALUE(advaltech_bs!AJ32)+_xlfn.NUMBERVALUE(advaltech_bs!AJ37)+_xlfn.NUMBERVALUE(advaltech_bs!AJ31)</f>
        <v/>
      </c>
      <c r="AK15" s="7">
        <f>_xlfn.NUMBERVALUE(advaltech_bs!AK32)+_xlfn.NUMBERVALUE(advaltech_bs!AK37)+_xlfn.NUMBERVALUE(advaltech_bs!AK31)</f>
        <v/>
      </c>
      <c r="AL15" s="7">
        <f>_xlfn.NUMBERVALUE(advaltech_bs!AL32)+_xlfn.NUMBERVALUE(advaltech_bs!AL37)+_xlfn.NUMBERVALUE(advaltech_bs!AL31)</f>
        <v/>
      </c>
      <c r="AM15" s="7">
        <f>_xlfn.NUMBERVALUE(advaltech_bs!AM32)+_xlfn.NUMBERVALUE(advaltech_bs!AM37)+_xlfn.NUMBERVALUE(advaltech_bs!AM31)</f>
        <v/>
      </c>
      <c r="AN15" s="7">
        <f>_xlfn.NUMBERVALUE(advaltech_bs!AN32)+_xlfn.NUMBERVALUE(advaltech_bs!AN37)+_xlfn.NUMBERVALUE(advaltech_bs!AN31)</f>
        <v/>
      </c>
      <c r="AO15" s="7">
        <f>_xlfn.NUMBERVALUE(advaltech_bs!AO32)+_xlfn.NUMBERVALUE(advaltech_bs!AO37)+_xlfn.NUMBERVALUE(advaltech_bs!AO31)</f>
        <v/>
      </c>
      <c r="AP15" s="7">
        <f>_xlfn.NUMBERVALUE(advaltech_bs!AP32)+_xlfn.NUMBERVALUE(advaltech_bs!AP37)+_xlfn.NUMBERVALUE(advaltech_bs!AP31)</f>
        <v/>
      </c>
      <c r="AQ15" s="7">
        <f>_xlfn.NUMBERVALUE(advaltech_bs!AQ32)+_xlfn.NUMBERVALUE(advaltech_bs!AQ37)+_xlfn.NUMBERVALUE(advaltech_bs!AQ31)</f>
        <v/>
      </c>
    </row>
    <row r="16">
      <c r="A16" s="6" t="inlineStr">
        <is>
          <t>Equity</t>
        </is>
      </c>
      <c r="D16" s="7">
        <f>_xlfn.NUMBERVALUE(advaltech_bs!D51)</f>
        <v/>
      </c>
      <c r="E16" s="7">
        <f>_xlfn.NUMBERVALUE(advaltech_bs!E51)</f>
        <v/>
      </c>
      <c r="F16" s="7">
        <f>_xlfn.NUMBERVALUE(advaltech_bs!F51)</f>
        <v/>
      </c>
      <c r="G16" s="7">
        <f>_xlfn.NUMBERVALUE(advaltech_bs!G51)</f>
        <v/>
      </c>
      <c r="H16" s="7">
        <f>_xlfn.NUMBERVALUE(advaltech_bs!H51)</f>
        <v/>
      </c>
      <c r="I16" s="7">
        <f>_xlfn.NUMBERVALUE(advaltech_bs!I51)</f>
        <v/>
      </c>
      <c r="J16" s="7">
        <f>_xlfn.NUMBERVALUE(advaltech_bs!J51)</f>
        <v/>
      </c>
      <c r="K16" s="7">
        <f>_xlfn.NUMBERVALUE(advaltech_bs!K51)</f>
        <v/>
      </c>
      <c r="L16" s="7">
        <f>_xlfn.NUMBERVALUE(advaltech_bs!L51)</f>
        <v/>
      </c>
      <c r="M16" s="7">
        <f>_xlfn.NUMBERVALUE(advaltech_bs!M51)</f>
        <v/>
      </c>
      <c r="N16" s="7">
        <f>_xlfn.NUMBERVALUE(advaltech_bs!N51)</f>
        <v/>
      </c>
      <c r="O16" s="7">
        <f>_xlfn.NUMBERVALUE(advaltech_bs!O51)</f>
        <v/>
      </c>
      <c r="P16" s="7">
        <f>_xlfn.NUMBERVALUE(advaltech_bs!P51)</f>
        <v/>
      </c>
      <c r="Q16" s="7">
        <f>_xlfn.NUMBERVALUE(advaltech_bs!Q51)</f>
        <v/>
      </c>
      <c r="R16" s="7">
        <f>_xlfn.NUMBERVALUE(advaltech_bs!R51)</f>
        <v/>
      </c>
      <c r="S16" s="7">
        <f>_xlfn.NUMBERVALUE(advaltech_bs!S51)</f>
        <v/>
      </c>
      <c r="T16" s="7">
        <f>_xlfn.NUMBERVALUE(advaltech_bs!T51)</f>
        <v/>
      </c>
      <c r="U16" s="7">
        <f>_xlfn.NUMBERVALUE(advaltech_bs!U51)</f>
        <v/>
      </c>
      <c r="V16" s="7">
        <f>_xlfn.NUMBERVALUE(advaltech_bs!V51)</f>
        <v/>
      </c>
      <c r="W16" s="7">
        <f>_xlfn.NUMBERVALUE(advaltech_bs!W51)</f>
        <v/>
      </c>
      <c r="X16" s="7">
        <f>_xlfn.NUMBERVALUE(advaltech_bs!X51)</f>
        <v/>
      </c>
      <c r="Y16" s="7">
        <f>_xlfn.NUMBERVALUE(advaltech_bs!Y51)</f>
        <v/>
      </c>
      <c r="Z16" s="7">
        <f>_xlfn.NUMBERVALUE(advaltech_bs!Z51)</f>
        <v/>
      </c>
      <c r="AA16" s="7">
        <f>_xlfn.NUMBERVALUE(advaltech_bs!AA51)</f>
        <v/>
      </c>
      <c r="AB16" s="7">
        <f>_xlfn.NUMBERVALUE(advaltech_bs!AB51)</f>
        <v/>
      </c>
      <c r="AC16" s="7">
        <f>_xlfn.NUMBERVALUE(advaltech_bs!AC51)</f>
        <v/>
      </c>
      <c r="AD16" s="7">
        <f>_xlfn.NUMBERVALUE(advaltech_bs!AD51)</f>
        <v/>
      </c>
      <c r="AE16" s="7">
        <f>_xlfn.NUMBERVALUE(advaltech_bs!AE51)</f>
        <v/>
      </c>
      <c r="AF16" s="7">
        <f>_xlfn.NUMBERVALUE(advaltech_bs!AF51)</f>
        <v/>
      </c>
      <c r="AG16" s="7">
        <f>_xlfn.NUMBERVALUE(advaltech_bs!AG51)</f>
        <v/>
      </c>
      <c r="AH16" s="7">
        <f>_xlfn.NUMBERVALUE(advaltech_bs!AH51)</f>
        <v/>
      </c>
      <c r="AI16" s="7">
        <f>_xlfn.NUMBERVALUE(advaltech_bs!AI51)</f>
        <v/>
      </c>
      <c r="AJ16" s="7">
        <f>_xlfn.NUMBERVALUE(advaltech_bs!AJ51)</f>
        <v/>
      </c>
      <c r="AK16" s="7">
        <f>_xlfn.NUMBERVALUE(advaltech_bs!AK51)</f>
        <v/>
      </c>
      <c r="AL16" s="7">
        <f>_xlfn.NUMBERVALUE(advaltech_bs!AL51)</f>
        <v/>
      </c>
      <c r="AM16" s="7">
        <f>_xlfn.NUMBERVALUE(advaltech_bs!AM51)</f>
        <v/>
      </c>
      <c r="AN16" s="7">
        <f>_xlfn.NUMBERVALUE(advaltech_bs!AN51)</f>
        <v/>
      </c>
      <c r="AO16" s="7">
        <f>_xlfn.NUMBERVALUE(advaltech_bs!AO51)</f>
        <v/>
      </c>
      <c r="AP16" s="7">
        <f>_xlfn.NUMBERVALUE(advaltech_bs!AP51)</f>
        <v/>
      </c>
      <c r="AQ16" s="7">
        <f>_xlfn.NUMBERVALUE(advaltech_bs!AQ51)</f>
        <v/>
      </c>
    </row>
    <row r="17"/>
    <row r="18">
      <c r="A18" s="6" t="inlineStr">
        <is>
          <t>Net Tangible Assets</t>
        </is>
      </c>
      <c r="D18" s="8">
        <f>D9-D10-D13</f>
        <v/>
      </c>
      <c r="E18" s="8">
        <f>E9-E10-E13</f>
        <v/>
      </c>
      <c r="F18" s="8">
        <f>F9-F10-F13</f>
        <v/>
      </c>
      <c r="G18" s="8">
        <f>G9-G10-G13</f>
        <v/>
      </c>
      <c r="H18" s="8">
        <f>H9-H10-H13</f>
        <v/>
      </c>
      <c r="I18" s="8">
        <f>I9-I10-I13</f>
        <v/>
      </c>
      <c r="J18" s="8">
        <f>J9-J10-J13</f>
        <v/>
      </c>
      <c r="K18" s="8">
        <f>K9-K10-K13</f>
        <v/>
      </c>
      <c r="L18" s="8">
        <f>L9-L10-L13</f>
        <v/>
      </c>
      <c r="M18" s="8">
        <f>M9-M10-M13</f>
        <v/>
      </c>
      <c r="N18" s="8">
        <f>N9-N10-N13</f>
        <v/>
      </c>
      <c r="O18" s="8">
        <f>O9-O10-O13</f>
        <v/>
      </c>
      <c r="P18" s="8">
        <f>P9-P10-P13</f>
        <v/>
      </c>
      <c r="Q18" s="8">
        <f>Q9-Q10-Q13</f>
        <v/>
      </c>
      <c r="R18" s="8">
        <f>R9-R10-R13</f>
        <v/>
      </c>
      <c r="S18" s="8">
        <f>S9-S10-S13</f>
        <v/>
      </c>
      <c r="T18" s="8">
        <f>T9-T10-T13</f>
        <v/>
      </c>
      <c r="U18" s="8">
        <f>U9-U10-U13</f>
        <v/>
      </c>
      <c r="V18" s="8">
        <f>V9-V10-V13</f>
        <v/>
      </c>
      <c r="W18" s="8">
        <f>W9-W10-W13</f>
        <v/>
      </c>
      <c r="X18" s="8">
        <f>X9-X10-X13</f>
        <v/>
      </c>
      <c r="Y18" s="8">
        <f>Y9-Y10-Y13</f>
        <v/>
      </c>
      <c r="Z18" s="8">
        <f>Z9-Z10-Z13</f>
        <v/>
      </c>
      <c r="AA18" s="8">
        <f>AA9-AA10-AA13</f>
        <v/>
      </c>
      <c r="AB18" s="8">
        <f>AB9-AB10-AB13</f>
        <v/>
      </c>
      <c r="AC18" s="8">
        <f>AC9-AC10-AC13</f>
        <v/>
      </c>
      <c r="AD18" s="8">
        <f>AD9-AD10-AD13</f>
        <v/>
      </c>
      <c r="AE18" s="8">
        <f>AE9-AE10-AE13</f>
        <v/>
      </c>
      <c r="AF18" s="8">
        <f>AF9-AF10-AF13</f>
        <v/>
      </c>
      <c r="AG18" s="8">
        <f>AG9-AG10-AG13</f>
        <v/>
      </c>
      <c r="AH18" s="8">
        <f>AH9-AH10-AH13</f>
        <v/>
      </c>
      <c r="AI18" s="8">
        <f>AI9-AI10-AI13</f>
        <v/>
      </c>
      <c r="AJ18" s="8">
        <f>AJ9-AJ10-AJ13</f>
        <v/>
      </c>
      <c r="AK18" s="8">
        <f>AK9-AK10-AK13</f>
        <v/>
      </c>
      <c r="AL18" s="8">
        <f>AL9-AL10-AL13</f>
        <v/>
      </c>
      <c r="AM18" s="8">
        <f>AM9-AM10-AM13</f>
        <v/>
      </c>
      <c r="AN18" s="8">
        <f>AN9-AN10-AN13</f>
        <v/>
      </c>
      <c r="AO18" s="8">
        <f>AO9-AO10-AO13</f>
        <v/>
      </c>
      <c r="AP18" s="8">
        <f>AP9-AP10-AP13</f>
        <v/>
      </c>
      <c r="AQ18" s="8">
        <f>AQ9-AQ10-AQ13</f>
        <v/>
      </c>
    </row>
    <row r="19"/>
    <row r="20">
      <c r="A20" s="6" t="inlineStr">
        <is>
          <t>Shares Outstanding</t>
        </is>
      </c>
      <c r="D20" s="29">
        <f>_xlfn.NUMBERVALUE(advaltech_IS!D41)</f>
        <v/>
      </c>
      <c r="E20" s="29">
        <f>_xlfn.NUMBERVALUE(advaltech_IS!E41)</f>
        <v/>
      </c>
      <c r="F20" s="29">
        <f>_xlfn.NUMBERVALUE(advaltech_IS!F41)</f>
        <v/>
      </c>
      <c r="G20" s="29">
        <f>_xlfn.NUMBERVALUE(advaltech_IS!G41)</f>
        <v/>
      </c>
      <c r="H20" s="29">
        <f>_xlfn.NUMBERVALUE(advaltech_IS!H41)</f>
        <v/>
      </c>
      <c r="I20" s="29">
        <f>_xlfn.NUMBERVALUE(advaltech_IS!I41)</f>
        <v/>
      </c>
      <c r="J20" s="29">
        <f>_xlfn.NUMBERVALUE(advaltech_IS!J41)</f>
        <v/>
      </c>
      <c r="K20" s="29">
        <f>_xlfn.NUMBERVALUE(advaltech_IS!K41)</f>
        <v/>
      </c>
      <c r="L20" s="29">
        <f>_xlfn.NUMBERVALUE(advaltech_IS!L41)</f>
        <v/>
      </c>
      <c r="M20" s="29">
        <f>_xlfn.NUMBERVALUE(advaltech_IS!M41)</f>
        <v/>
      </c>
      <c r="N20" s="29">
        <f>_xlfn.NUMBERVALUE(advaltech_IS!N41)</f>
        <v/>
      </c>
      <c r="O20" s="29">
        <f>_xlfn.NUMBERVALUE(advaltech_IS!O41)</f>
        <v/>
      </c>
      <c r="P20" s="29">
        <f>_xlfn.NUMBERVALUE(advaltech_IS!P41)</f>
        <v/>
      </c>
      <c r="Q20" s="29">
        <f>_xlfn.NUMBERVALUE(advaltech_IS!Q41)</f>
        <v/>
      </c>
      <c r="R20" s="29">
        <f>_xlfn.NUMBERVALUE(advaltech_IS!R41)</f>
        <v/>
      </c>
      <c r="S20" s="29">
        <f>_xlfn.NUMBERVALUE(advaltech_IS!S41)</f>
        <v/>
      </c>
      <c r="T20" s="29">
        <f>_xlfn.NUMBERVALUE(advaltech_IS!T41)</f>
        <v/>
      </c>
      <c r="U20" s="29">
        <f>_xlfn.NUMBERVALUE(advaltech_IS!U41)</f>
        <v/>
      </c>
      <c r="V20" s="29">
        <f>_xlfn.NUMBERVALUE(advaltech_IS!V41)</f>
        <v/>
      </c>
      <c r="W20" s="29">
        <f>_xlfn.NUMBERVALUE(advaltech_IS!W41)</f>
        <v/>
      </c>
      <c r="X20" s="29">
        <f>_xlfn.NUMBERVALUE(advaltech_IS!X41)</f>
        <v/>
      </c>
      <c r="Y20" s="29">
        <f>_xlfn.NUMBERVALUE(advaltech_IS!Y41)</f>
        <v/>
      </c>
      <c r="Z20" s="29">
        <f>_xlfn.NUMBERVALUE(advaltech_IS!Z41)</f>
        <v/>
      </c>
      <c r="AA20" s="29">
        <f>_xlfn.NUMBERVALUE(advaltech_IS!AA41)</f>
        <v/>
      </c>
      <c r="AB20" s="29">
        <f>_xlfn.NUMBERVALUE(advaltech_IS!AB41)</f>
        <v/>
      </c>
      <c r="AC20" s="29">
        <f>_xlfn.NUMBERVALUE(advaltech_IS!AC41)</f>
        <v/>
      </c>
      <c r="AD20" s="29">
        <f>_xlfn.NUMBERVALUE(advaltech_IS!AD41)</f>
        <v/>
      </c>
      <c r="AE20" s="29">
        <f>_xlfn.NUMBERVALUE(advaltech_IS!AE41)</f>
        <v/>
      </c>
      <c r="AF20" s="29">
        <f>_xlfn.NUMBERVALUE(advaltech_IS!AF41)</f>
        <v/>
      </c>
      <c r="AG20" s="29">
        <f>_xlfn.NUMBERVALUE(advaltech_IS!AG41)</f>
        <v/>
      </c>
      <c r="AH20" s="29">
        <f>_xlfn.NUMBERVALUE(advaltech_IS!AH41)</f>
        <v/>
      </c>
      <c r="AI20" s="29">
        <f>_xlfn.NUMBERVALUE(advaltech_IS!AI41)</f>
        <v/>
      </c>
      <c r="AJ20" s="29">
        <f>_xlfn.NUMBERVALUE(advaltech_IS!AJ41)</f>
        <v/>
      </c>
      <c r="AK20" s="29">
        <f>_xlfn.NUMBERVALUE(advaltech_IS!AK41)</f>
        <v/>
      </c>
      <c r="AL20" s="29">
        <f>_xlfn.NUMBERVALUE(advaltech_IS!AL41)</f>
        <v/>
      </c>
      <c r="AM20" s="29">
        <f>_xlfn.NUMBERVALUE(advaltech_IS!AM41)</f>
        <v/>
      </c>
      <c r="AN20" s="29">
        <f>_xlfn.NUMBERVALUE(advaltech_IS!AN41)</f>
        <v/>
      </c>
      <c r="AO20" s="29">
        <f>_xlfn.NUMBERVALUE(advaltech_IS!AO41)</f>
        <v/>
      </c>
      <c r="AP20" s="29">
        <f>_xlfn.NUMBERVALUE(advaltech_IS!AP41)</f>
        <v/>
      </c>
      <c r="AQ20" s="29">
        <f>_xlfn.NUMBERVALUE(advaltech_IS!AQ41)</f>
        <v/>
      </c>
    </row>
    <row r="21"/>
    <row r="22">
      <c r="A22" s="6" t="inlineStr">
        <is>
          <t>Net Cash</t>
        </is>
      </c>
      <c r="D22" s="21">
        <f>IF(D2-D13&gt;0,D2-D13, "NA")</f>
        <v/>
      </c>
      <c r="E22" s="21">
        <f>IF(E2-E13&gt;0,E2-E13, "NA")</f>
        <v/>
      </c>
      <c r="F22" s="21">
        <f>IF(F2-F13&gt;0,F2-F13, "NA")</f>
        <v/>
      </c>
      <c r="G22" s="21">
        <f>IF(G2-G13&gt;0,G2-G13, "NA")</f>
        <v/>
      </c>
      <c r="H22" s="21">
        <f>IF(H2-H13&gt;0,H2-H13, "NA")</f>
        <v/>
      </c>
      <c r="I22" s="21">
        <f>IF(I2-I13&gt;0,I2-I13, "NA")</f>
        <v/>
      </c>
      <c r="J22" s="21">
        <f>IF(J2-J13&gt;0,J2-J13, "NA")</f>
        <v/>
      </c>
      <c r="K22" s="21">
        <f>IF(K2-K13&gt;0,K2-K13, "NA")</f>
        <v/>
      </c>
      <c r="L22" s="21">
        <f>IF(L2-L13&gt;0,L2-L13, "NA")</f>
        <v/>
      </c>
      <c r="M22" s="21">
        <f>IF(M2-M13&gt;0,M2-M13, "NA")</f>
        <v/>
      </c>
      <c r="N22" s="21">
        <f>IF(N2-N13&gt;0,N2-N13, "NA")</f>
        <v/>
      </c>
      <c r="O22" s="21">
        <f>IF(O2-O13&gt;0,O2-O13, "NA")</f>
        <v/>
      </c>
      <c r="P22" s="21">
        <f>IF(P2-P13&gt;0,P2-P13, "NA")</f>
        <v/>
      </c>
      <c r="Q22" s="21">
        <f>IF(Q2-Q13&gt;0,Q2-Q13, "NA")</f>
        <v/>
      </c>
      <c r="R22" s="21">
        <f>IF(R2-R13&gt;0,R2-R13, "NA")</f>
        <v/>
      </c>
      <c r="S22" s="21">
        <f>IF(S2-S13&gt;0,S2-S13, "NA")</f>
        <v/>
      </c>
      <c r="T22" s="21">
        <f>IF(T2-T13&gt;0,T2-T13, "NA")</f>
        <v/>
      </c>
      <c r="U22" s="21">
        <f>IF(U2-U13&gt;0,U2-U13, "NA")</f>
        <v/>
      </c>
      <c r="V22" s="21">
        <f>IF(V2-V13&gt;0,V2-V13, "NA")</f>
        <v/>
      </c>
      <c r="W22" s="30">
        <f>IF(W2-W13&gt;0,W2-W13, "NA")</f>
        <v/>
      </c>
      <c r="X22" s="30">
        <f>IF(X2-X13&gt;0,X2-X13, "NA")</f>
        <v/>
      </c>
      <c r="Y22" s="30">
        <f>IF(Y2-Y13&gt;0,Y2-Y13, "NA")</f>
        <v/>
      </c>
      <c r="Z22" s="30">
        <f>IF(Z2-Z13&gt;0,Z2-Z13, "NA")</f>
        <v/>
      </c>
      <c r="AA22" s="30">
        <f>IF(AA2-AA13&gt;0,AA2-AA13, "NA")</f>
        <v/>
      </c>
      <c r="AB22" s="30">
        <f>IF(AB2-AB13&gt;0,AB2-AB13, "NA")</f>
        <v/>
      </c>
      <c r="AC22" s="30">
        <f>IF(AC2-AC13&gt;0,AC2-AC13, "NA")</f>
        <v/>
      </c>
      <c r="AD22" s="30">
        <f>IF(AD2-AD13&gt;0,AD2-AD13, "NA")</f>
        <v/>
      </c>
      <c r="AE22" s="30">
        <f>IF(AE2-AE13&gt;0,AE2-AE13, "NA")</f>
        <v/>
      </c>
      <c r="AF22" s="30">
        <f>IF(AF2-AF13&gt;0,AF2-AF13, "NA")</f>
        <v/>
      </c>
      <c r="AG22" s="30">
        <f>IF(AG2-AG13&gt;0,AG2-AG13, "NA")</f>
        <v/>
      </c>
      <c r="AH22" s="30">
        <f>IF(AH2-AH13&gt;0,AH2-AH13, "NA")</f>
        <v/>
      </c>
      <c r="AI22" s="30">
        <f>IF(AI2-AI13&gt;0,AI2-AI13, "NA")</f>
        <v/>
      </c>
      <c r="AJ22" s="30">
        <f>IF(AJ2-AJ13&gt;0,AJ2-AJ13, "NA")</f>
        <v/>
      </c>
      <c r="AK22" s="30">
        <f>IF(AK2-AK13&gt;0,AK2-AK13, "NA")</f>
        <v/>
      </c>
      <c r="AL22" s="30">
        <f>IF(AL2-AL13&gt;0,AL2-AL13, "NA")</f>
        <v/>
      </c>
      <c r="AM22" s="30">
        <f>IF(AM2-AM13&gt;0,AM2-AM13, "NA")</f>
        <v/>
      </c>
      <c r="AN22" s="30">
        <f>IF(AN2-AN13&gt;0,AN2-AN13, "NA")</f>
        <v/>
      </c>
      <c r="AO22" s="30">
        <f>IF(AO2-AO13&gt;0,AO2-AO13, "NA")</f>
        <v/>
      </c>
      <c r="AP22" s="30">
        <f>IF(AP2-AP13&gt;0,AP2-AP13, "NA")</f>
        <v/>
      </c>
      <c r="AQ22" s="30">
        <f>IF(AQ2-AQ13&gt;0,AQ2-AQ13, "NA")</f>
        <v/>
      </c>
    </row>
    <row r="23">
      <c r="A23" s="6" t="inlineStr">
        <is>
          <t>Net Current Assets</t>
        </is>
      </c>
      <c r="D23" s="8">
        <f>D5-D13</f>
        <v/>
      </c>
      <c r="E23" s="8">
        <f>E5-E13</f>
        <v/>
      </c>
      <c r="F23" s="8">
        <f>F5-F13</f>
        <v/>
      </c>
      <c r="G23" s="8">
        <f>G5-G13</f>
        <v/>
      </c>
      <c r="H23" s="8">
        <f>H5-H13</f>
        <v/>
      </c>
      <c r="I23" s="8">
        <f>I5-I13</f>
        <v/>
      </c>
      <c r="J23" s="8">
        <f>J5-J13</f>
        <v/>
      </c>
      <c r="K23" s="8">
        <f>K5-K13</f>
        <v/>
      </c>
      <c r="L23" s="8">
        <f>L5-L13</f>
        <v/>
      </c>
      <c r="M23" s="8">
        <f>M5-M13</f>
        <v/>
      </c>
      <c r="N23" s="8">
        <f>N5-N13</f>
        <v/>
      </c>
      <c r="O23" s="8">
        <f>O5-O13</f>
        <v/>
      </c>
      <c r="P23" s="8">
        <f>P5-P13</f>
        <v/>
      </c>
      <c r="Q23" s="8">
        <f>Q5-Q13</f>
        <v/>
      </c>
      <c r="R23" s="8">
        <f>R5-R13</f>
        <v/>
      </c>
      <c r="S23" s="8">
        <f>S5-S13</f>
        <v/>
      </c>
      <c r="T23" s="8">
        <f>T5-T13</f>
        <v/>
      </c>
      <c r="U23" s="8">
        <f>U5-U13</f>
        <v/>
      </c>
      <c r="V23" s="8">
        <f>V5-V13</f>
        <v/>
      </c>
      <c r="W23" s="8">
        <f>W5-W13</f>
        <v/>
      </c>
      <c r="X23" s="8">
        <f>X5-X13</f>
        <v/>
      </c>
      <c r="Y23" s="8">
        <f>Y5-Y13</f>
        <v/>
      </c>
      <c r="Z23" s="8">
        <f>Z5-Z13</f>
        <v/>
      </c>
      <c r="AA23" s="8">
        <f>AA5-AA13</f>
        <v/>
      </c>
      <c r="AB23" s="8">
        <f>AB5-AB13</f>
        <v/>
      </c>
      <c r="AC23" s="8">
        <f>AC5-AC13</f>
        <v/>
      </c>
      <c r="AD23" s="8">
        <f>AD5-AD13</f>
        <v/>
      </c>
      <c r="AE23" s="8">
        <f>AE5-AE13</f>
        <v/>
      </c>
      <c r="AF23" s="8">
        <f>AF5-AF13</f>
        <v/>
      </c>
      <c r="AG23" s="8">
        <f>AG5-AG13</f>
        <v/>
      </c>
      <c r="AH23" s="8">
        <f>AH5-AH13</f>
        <v/>
      </c>
      <c r="AI23" s="8">
        <f>AI5-AI13</f>
        <v/>
      </c>
      <c r="AJ23" s="8">
        <f>AJ5-AJ13</f>
        <v/>
      </c>
      <c r="AK23" s="8">
        <f>AK5-AK13</f>
        <v/>
      </c>
      <c r="AL23" s="8">
        <f>AL5-AL13</f>
        <v/>
      </c>
      <c r="AM23" s="8">
        <f>AM5-AM13</f>
        <v/>
      </c>
      <c r="AN23" s="8">
        <f>AN5-AN13</f>
        <v/>
      </c>
      <c r="AO23" s="8">
        <f>AO5-AO13</f>
        <v/>
      </c>
      <c r="AP23" s="8">
        <f>AP5-AP13</f>
        <v/>
      </c>
      <c r="AQ23" s="8">
        <f>AQ5-AQ13</f>
        <v/>
      </c>
    </row>
    <row r="24">
      <c r="A24" s="6" t="inlineStr">
        <is>
          <t>Discounted Net Current Assets</t>
        </is>
      </c>
      <c r="D24" s="8">
        <f>D6-D13</f>
        <v/>
      </c>
      <c r="E24" s="8">
        <f>E6-E13</f>
        <v/>
      </c>
      <c r="F24" s="8">
        <f>F6-F13</f>
        <v/>
      </c>
      <c r="G24" s="8">
        <f>G6-G13</f>
        <v/>
      </c>
      <c r="H24" s="8">
        <f>H6-H13</f>
        <v/>
      </c>
      <c r="I24" s="8">
        <f>I6-I13</f>
        <v/>
      </c>
      <c r="J24" s="8">
        <f>J6-J13</f>
        <v/>
      </c>
      <c r="K24" s="8">
        <f>K6-K13</f>
        <v/>
      </c>
      <c r="L24" s="8">
        <f>L6-L13</f>
        <v/>
      </c>
      <c r="M24" s="8">
        <f>M6-M13</f>
        <v/>
      </c>
      <c r="N24" s="8">
        <f>N6-N13</f>
        <v/>
      </c>
      <c r="O24" s="8">
        <f>O6-O13</f>
        <v/>
      </c>
      <c r="P24" s="8">
        <f>P6-P13</f>
        <v/>
      </c>
      <c r="Q24" s="8">
        <f>Q6-Q13</f>
        <v/>
      </c>
      <c r="R24" s="8">
        <f>R6-R13</f>
        <v/>
      </c>
      <c r="S24" s="8">
        <f>S6-S13</f>
        <v/>
      </c>
      <c r="T24" s="8">
        <f>T6-T13</f>
        <v/>
      </c>
      <c r="U24" s="8">
        <f>U6-U13</f>
        <v/>
      </c>
      <c r="V24" s="8">
        <f>V6-V13</f>
        <v/>
      </c>
      <c r="W24" s="8">
        <f>W6-W13</f>
        <v/>
      </c>
      <c r="X24" s="8">
        <f>X6-X13</f>
        <v/>
      </c>
      <c r="Y24" s="8">
        <f>Y6-Y13</f>
        <v/>
      </c>
      <c r="Z24" s="8">
        <f>Z6-Z13</f>
        <v/>
      </c>
      <c r="AA24" s="8">
        <f>AA6-AA13</f>
        <v/>
      </c>
      <c r="AB24" s="8">
        <f>AB6-AB13</f>
        <v/>
      </c>
      <c r="AC24" s="8">
        <f>AC6-AC13</f>
        <v/>
      </c>
      <c r="AD24" s="8">
        <f>AD6-AD13</f>
        <v/>
      </c>
      <c r="AE24" s="8">
        <f>AE6-AE13</f>
        <v/>
      </c>
      <c r="AF24" s="8">
        <f>AF6-AF13</f>
        <v/>
      </c>
      <c r="AG24" s="8">
        <f>AG6-AG13</f>
        <v/>
      </c>
      <c r="AH24" s="8">
        <f>AH6-AH13</f>
        <v/>
      </c>
      <c r="AI24" s="8">
        <f>AI6-AI13</f>
        <v/>
      </c>
      <c r="AJ24" s="8">
        <f>AJ6-AJ13</f>
        <v/>
      </c>
      <c r="AK24" s="8">
        <f>AK6-AK13</f>
        <v/>
      </c>
      <c r="AL24" s="8">
        <f>AL6-AL13</f>
        <v/>
      </c>
      <c r="AM24" s="8">
        <f>AM6-AM13</f>
        <v/>
      </c>
      <c r="AN24" s="8">
        <f>AN6-AN13</f>
        <v/>
      </c>
      <c r="AO24" s="8">
        <f>AO6-AO13</f>
        <v/>
      </c>
      <c r="AP24" s="8">
        <f>AP6-AP13</f>
        <v/>
      </c>
      <c r="AQ24" s="8">
        <f>AQ6-AQ13</f>
        <v/>
      </c>
    </row>
    <row r="25"/>
    <row r="26">
      <c r="A26" s="6" t="inlineStr">
        <is>
          <t>Current Ratio</t>
        </is>
      </c>
      <c r="D26" s="9">
        <f>D5/D12</f>
        <v/>
      </c>
      <c r="E26" s="9">
        <f>E5/E12</f>
        <v/>
      </c>
      <c r="F26" s="9">
        <f>F5/F12</f>
        <v/>
      </c>
      <c r="G26" s="9">
        <f>G5/G12</f>
        <v/>
      </c>
      <c r="H26" s="9">
        <f>H5/H12</f>
        <v/>
      </c>
      <c r="I26" s="9">
        <f>I5/I12</f>
        <v/>
      </c>
      <c r="J26" s="9">
        <f>J5/J12</f>
        <v/>
      </c>
      <c r="K26" s="9">
        <f>K5/K12</f>
        <v/>
      </c>
      <c r="L26" s="9">
        <f>L5/L12</f>
        <v/>
      </c>
      <c r="M26" s="9">
        <f>M5/M12</f>
        <v/>
      </c>
      <c r="N26" s="9">
        <f>N5/N12</f>
        <v/>
      </c>
      <c r="O26" s="9">
        <f>O5/O12</f>
        <v/>
      </c>
      <c r="P26" s="9">
        <f>P5/P12</f>
        <v/>
      </c>
      <c r="Q26" s="9">
        <f>Q5/Q12</f>
        <v/>
      </c>
      <c r="R26" s="9">
        <f>R5/R12</f>
        <v/>
      </c>
      <c r="S26" s="9">
        <f>S5/S12</f>
        <v/>
      </c>
      <c r="T26" s="9">
        <f>T5/T12</f>
        <v/>
      </c>
      <c r="U26" s="9">
        <f>U5/U12</f>
        <v/>
      </c>
      <c r="V26" s="9">
        <f>V5/V12</f>
        <v/>
      </c>
      <c r="W26" s="9">
        <f>W5/W12</f>
        <v/>
      </c>
      <c r="X26" s="9">
        <f>X5/X12</f>
        <v/>
      </c>
      <c r="Y26" s="9">
        <f>Y5/Y12</f>
        <v/>
      </c>
      <c r="Z26" s="9">
        <f>Z5/Z12</f>
        <v/>
      </c>
      <c r="AA26" s="9">
        <f>AA5/AA12</f>
        <v/>
      </c>
      <c r="AB26" s="9">
        <f>AB5/AB12</f>
        <v/>
      </c>
      <c r="AC26" s="9">
        <f>AC5/AC12</f>
        <v/>
      </c>
      <c r="AD26" s="9">
        <f>AD5/AD12</f>
        <v/>
      </c>
      <c r="AE26" s="9">
        <f>AE5/AE12</f>
        <v/>
      </c>
      <c r="AF26" s="9">
        <f>AF5/AF12</f>
        <v/>
      </c>
      <c r="AG26" s="9">
        <f>AG5/AG12</f>
        <v/>
      </c>
      <c r="AH26" s="9">
        <f>AH5/AH12</f>
        <v/>
      </c>
      <c r="AI26" s="9">
        <f>AI5/AI12</f>
        <v/>
      </c>
      <c r="AJ26" s="9">
        <f>AJ5/AJ12</f>
        <v/>
      </c>
      <c r="AK26" s="9">
        <f>AK5/AK12</f>
        <v/>
      </c>
      <c r="AL26" s="9">
        <f>AL5/AL12</f>
        <v/>
      </c>
      <c r="AM26" s="9">
        <f>AM5/AM12</f>
        <v/>
      </c>
      <c r="AN26" s="9">
        <f>AN5/AN12</f>
        <v/>
      </c>
      <c r="AO26" s="9">
        <f>AO5/AO12</f>
        <v/>
      </c>
      <c r="AP26" s="9">
        <f>AP5/AP12</f>
        <v/>
      </c>
      <c r="AQ26" s="9">
        <f>AQ5/AQ12</f>
        <v/>
      </c>
    </row>
    <row r="27">
      <c r="A27" s="6" t="inlineStr">
        <is>
          <t>4 period ma</t>
        </is>
      </c>
      <c r="D27" s="9">
        <f>AVERAGE(D26:D26)</f>
        <v/>
      </c>
      <c r="E27" s="9">
        <f>AVERAGE(D26:E26)</f>
        <v/>
      </c>
      <c r="F27" s="9">
        <f>AVERAGE(D26:F26)</f>
        <v/>
      </c>
      <c r="G27" s="9">
        <f>AVERAGE(D26:G26)</f>
        <v/>
      </c>
      <c r="H27" s="9">
        <f>AVERAGE(E26:H26)</f>
        <v/>
      </c>
      <c r="I27" s="9">
        <f>AVERAGE(F26:I26)</f>
        <v/>
      </c>
      <c r="J27" s="9">
        <f>AVERAGE(G26:J26)</f>
        <v/>
      </c>
      <c r="K27" s="9">
        <f>AVERAGE(H26:K26)</f>
        <v/>
      </c>
      <c r="L27" s="9">
        <f>AVERAGE(I26:L26)</f>
        <v/>
      </c>
      <c r="M27" s="9">
        <f>AVERAGE(J26:M26)</f>
        <v/>
      </c>
      <c r="N27" s="9">
        <f>AVERAGE(K26:N26)</f>
        <v/>
      </c>
      <c r="O27" s="9">
        <f>AVERAGE(L26:O26)</f>
        <v/>
      </c>
      <c r="P27" s="9">
        <f>AVERAGE(M26:P26)</f>
        <v/>
      </c>
      <c r="Q27" s="9">
        <f>AVERAGE(N26:Q26)</f>
        <v/>
      </c>
      <c r="R27" s="9">
        <f>AVERAGE(O26:R26)</f>
        <v/>
      </c>
      <c r="S27" s="9">
        <f>AVERAGE(P26:S26)</f>
        <v/>
      </c>
      <c r="T27" s="9">
        <f>AVERAGE(Q26:T26)</f>
        <v/>
      </c>
      <c r="U27" s="9">
        <f>AVERAGE(R26:U26)</f>
        <v/>
      </c>
      <c r="V27" s="9">
        <f>AVERAGE(S26:V26)</f>
        <v/>
      </c>
      <c r="W27" s="9">
        <f>AVERAGE(T26:W26)</f>
        <v/>
      </c>
      <c r="X27" s="9">
        <f>AVERAGE(U26:X26)</f>
        <v/>
      </c>
      <c r="Y27" s="9">
        <f>AVERAGE(V26:Y26)</f>
        <v/>
      </c>
      <c r="Z27" s="9">
        <f>AVERAGE(W26:Z26)</f>
        <v/>
      </c>
      <c r="AA27" s="9">
        <f>AVERAGE(X26:AA26)</f>
        <v/>
      </c>
      <c r="AB27" s="9">
        <f>AVERAGE(Y26:AB26)</f>
        <v/>
      </c>
      <c r="AC27" s="9">
        <f>AVERAGE(Z26:AC26)</f>
        <v/>
      </c>
      <c r="AD27" s="9">
        <f>AVERAGE(AA26:AD26)</f>
        <v/>
      </c>
      <c r="AE27" s="9">
        <f>AVERAGE(AB26:AE26)</f>
        <v/>
      </c>
      <c r="AF27" s="9">
        <f>AVERAGE(AC26:AF26)</f>
        <v/>
      </c>
      <c r="AG27" s="9">
        <f>AVERAGE(AD26:AG26)</f>
        <v/>
      </c>
      <c r="AH27" s="9">
        <f>AVERAGE(AE26:AH26)</f>
        <v/>
      </c>
      <c r="AI27" s="9">
        <f>AVERAGE(AF26:AI26)</f>
        <v/>
      </c>
      <c r="AJ27" s="9">
        <f>AVERAGE(AG26:AJ26)</f>
        <v/>
      </c>
      <c r="AK27" s="9">
        <f>AVERAGE(AH26:AK26)</f>
        <v/>
      </c>
      <c r="AL27" s="9">
        <f>AVERAGE(AI26:AL26)</f>
        <v/>
      </c>
      <c r="AM27" s="9">
        <f>AVERAGE(AJ26:AM26)</f>
        <v/>
      </c>
      <c r="AN27" s="9">
        <f>AVERAGE(AK26:AN26)</f>
        <v/>
      </c>
      <c r="AO27" s="9">
        <f>AVERAGE(AL26:AO26)</f>
        <v/>
      </c>
      <c r="AP27" s="9">
        <f>AVERAGE(AM26:AP26)</f>
        <v/>
      </c>
      <c r="AQ27" s="9">
        <f>AVERAGE(AN26:AQ26)</f>
        <v/>
      </c>
    </row>
    <row r="28"/>
    <row r="29">
      <c r="A29" s="6" t="inlineStr">
        <is>
          <t>Net Tangible Assets / Share</t>
        </is>
      </c>
      <c r="D29" s="9">
        <f>D18/D20</f>
        <v/>
      </c>
      <c r="E29" s="9">
        <f>E18/E20</f>
        <v/>
      </c>
      <c r="F29" s="9">
        <f>F18/F20</f>
        <v/>
      </c>
      <c r="G29" s="9">
        <f>G18/G20</f>
        <v/>
      </c>
      <c r="H29" s="9">
        <f>H18/H20</f>
        <v/>
      </c>
      <c r="I29" s="9">
        <f>I18/I20</f>
        <v/>
      </c>
      <c r="J29" s="9">
        <f>J18/J20</f>
        <v/>
      </c>
      <c r="K29" s="9">
        <f>K18/K20</f>
        <v/>
      </c>
      <c r="L29" s="9">
        <f>L18/L20</f>
        <v/>
      </c>
      <c r="M29" s="9">
        <f>M18/M20</f>
        <v/>
      </c>
      <c r="N29" s="9">
        <f>N18/N20</f>
        <v/>
      </c>
      <c r="O29" s="9">
        <f>O18/O20</f>
        <v/>
      </c>
      <c r="P29" s="9">
        <f>P18/P20</f>
        <v/>
      </c>
      <c r="Q29" s="9">
        <f>Q18/Q20</f>
        <v/>
      </c>
      <c r="R29" s="9">
        <f>R18/R20</f>
        <v/>
      </c>
      <c r="S29" s="9">
        <f>S18/S20</f>
        <v/>
      </c>
      <c r="T29" s="9">
        <f>T18/T20</f>
        <v/>
      </c>
      <c r="U29" s="9">
        <f>U18/U20</f>
        <v/>
      </c>
      <c r="V29" s="9">
        <f>V18/V20</f>
        <v/>
      </c>
      <c r="W29" s="9">
        <f>W18/W20</f>
        <v/>
      </c>
      <c r="X29" s="9">
        <f>X18/X20</f>
        <v/>
      </c>
      <c r="Y29" s="9">
        <f>Y18/Y20</f>
        <v/>
      </c>
      <c r="Z29" s="9">
        <f>Z18/Z20</f>
        <v/>
      </c>
      <c r="AA29" s="9">
        <f>AA18/AA20</f>
        <v/>
      </c>
      <c r="AB29" s="9">
        <f>AB18/AB20</f>
        <v/>
      </c>
      <c r="AC29" s="9">
        <f>AC18/AC20</f>
        <v/>
      </c>
      <c r="AD29" s="9">
        <f>AD18/AD20</f>
        <v/>
      </c>
      <c r="AE29" s="9">
        <f>AE18/AE20</f>
        <v/>
      </c>
      <c r="AF29" s="9">
        <f>AF18/AF20</f>
        <v/>
      </c>
      <c r="AG29" s="9">
        <f>AG18/AG20</f>
        <v/>
      </c>
      <c r="AH29" s="9">
        <f>AH18/AH20</f>
        <v/>
      </c>
      <c r="AI29" s="9">
        <f>AI18/AI20</f>
        <v/>
      </c>
      <c r="AJ29" s="9">
        <f>AJ18/AJ20</f>
        <v/>
      </c>
      <c r="AK29" s="9">
        <f>AK18/AK20</f>
        <v/>
      </c>
      <c r="AL29" s="9">
        <f>AL18/AL20</f>
        <v/>
      </c>
      <c r="AM29" s="9">
        <f>AM18/AM20</f>
        <v/>
      </c>
      <c r="AN29" s="9">
        <f>AN18/AN20</f>
        <v/>
      </c>
      <c r="AO29" s="9">
        <f>AO18/AO20</f>
        <v/>
      </c>
      <c r="AP29" s="9">
        <f>AP18/AP20</f>
        <v/>
      </c>
      <c r="AQ29" s="9">
        <f>AQ18/AQ20</f>
        <v/>
      </c>
    </row>
    <row r="30">
      <c r="B30" s="10" t="inlineStr">
        <is>
          <t>% QoQ</t>
        </is>
      </c>
      <c r="C30" s="10" t="n"/>
      <c r="D30" s="11" t="n"/>
      <c r="E30" s="11">
        <f>E29/D29-1</f>
        <v/>
      </c>
      <c r="F30" s="11">
        <f>F29/E29-1</f>
        <v/>
      </c>
      <c r="G30" s="11">
        <f>G29/F29-1</f>
        <v/>
      </c>
      <c r="H30" s="11">
        <f>H29/G29-1</f>
        <v/>
      </c>
      <c r="I30" s="11">
        <f>I29/H29-1</f>
        <v/>
      </c>
      <c r="J30" s="11">
        <f>J29/I29-1</f>
        <v/>
      </c>
      <c r="K30" s="11">
        <f>K29/J29-1</f>
        <v/>
      </c>
      <c r="L30" s="11">
        <f>L29/K29-1</f>
        <v/>
      </c>
      <c r="M30" s="11">
        <f>M29/L29-1</f>
        <v/>
      </c>
      <c r="N30" s="11">
        <f>N29/M29-1</f>
        <v/>
      </c>
      <c r="O30" s="11">
        <f>O29/N29-1</f>
        <v/>
      </c>
      <c r="P30" s="11">
        <f>P29/O29-1</f>
        <v/>
      </c>
      <c r="Q30" s="11">
        <f>Q29/P29-1</f>
        <v/>
      </c>
      <c r="R30" s="11">
        <f>R29/Q29-1</f>
        <v/>
      </c>
      <c r="S30" s="11">
        <f>S29/R29-1</f>
        <v/>
      </c>
      <c r="T30" s="11">
        <f>T29/S29-1</f>
        <v/>
      </c>
      <c r="U30" s="11">
        <f>U29/T29-1</f>
        <v/>
      </c>
      <c r="V30" s="11">
        <f>V29/U29-1</f>
        <v/>
      </c>
      <c r="W30" s="11">
        <f>W29/V29-1</f>
        <v/>
      </c>
      <c r="X30" s="11">
        <f>X29/V29-1</f>
        <v/>
      </c>
      <c r="Y30" s="11">
        <f>Y29/V29-1</f>
        <v/>
      </c>
      <c r="Z30" s="11">
        <f>Z29/V29-1</f>
        <v/>
      </c>
      <c r="AA30" s="11">
        <f>AA29/V29-1</f>
        <v/>
      </c>
      <c r="AB30" s="11">
        <f>AB29/V29-1</f>
        <v/>
      </c>
      <c r="AC30" s="11">
        <f>AC29/V29-1</f>
        <v/>
      </c>
      <c r="AD30" s="11">
        <f>AD29/V29-1</f>
        <v/>
      </c>
      <c r="AE30" s="11">
        <f>AE29/V29-1</f>
        <v/>
      </c>
      <c r="AF30" s="11">
        <f>AF29/V29-1</f>
        <v/>
      </c>
      <c r="AG30" s="11">
        <f>AG29/V29-1</f>
        <v/>
      </c>
      <c r="AH30" s="11">
        <f>AH29/V29-1</f>
        <v/>
      </c>
      <c r="AI30" s="11">
        <f>AI29/V29-1</f>
        <v/>
      </c>
      <c r="AJ30" s="11">
        <f>AJ29/V29-1</f>
        <v/>
      </c>
      <c r="AK30" s="11">
        <f>AK29/V29-1</f>
        <v/>
      </c>
      <c r="AL30" s="11">
        <f>AL29/V29-1</f>
        <v/>
      </c>
      <c r="AM30" s="11">
        <f>AM29/V29-1</f>
        <v/>
      </c>
      <c r="AN30" s="11">
        <f>AN29/V29-1</f>
        <v/>
      </c>
      <c r="AO30" s="11">
        <f>AO29/V29-1</f>
        <v/>
      </c>
      <c r="AP30" s="11">
        <f>AP29/V29-1</f>
        <v/>
      </c>
      <c r="AQ30" s="11">
        <f>AQ29/V29-1</f>
        <v/>
      </c>
    </row>
    <row r="31">
      <c r="B31" s="10" t="inlineStr">
        <is>
          <t>% YoY</t>
        </is>
      </c>
      <c r="C31" s="10" t="n"/>
      <c r="D31" s="11" t="n"/>
      <c r="E31" s="11" t="n"/>
      <c r="F31" s="11" t="n"/>
      <c r="G31" s="11">
        <f>G29/D29-1</f>
        <v/>
      </c>
      <c r="H31" s="11">
        <f>H29/E29-1</f>
        <v/>
      </c>
      <c r="I31" s="11">
        <f>I29/F29-1</f>
        <v/>
      </c>
      <c r="J31" s="11">
        <f>J29/G29-1</f>
        <v/>
      </c>
      <c r="K31" s="11">
        <f>K29/H29-1</f>
        <v/>
      </c>
      <c r="L31" s="11">
        <f>L29/I29-1</f>
        <v/>
      </c>
      <c r="M31" s="11">
        <f>M29/J29-1</f>
        <v/>
      </c>
      <c r="N31" s="11">
        <f>N29/K29-1</f>
        <v/>
      </c>
      <c r="O31" s="11">
        <f>O29/L29-1</f>
        <v/>
      </c>
      <c r="P31" s="11">
        <f>P29/M29-1</f>
        <v/>
      </c>
      <c r="Q31" s="11">
        <f>Q29/N29-1</f>
        <v/>
      </c>
      <c r="R31" s="11">
        <f>R29/O29-1</f>
        <v/>
      </c>
      <c r="S31" s="11">
        <f>S29/P29-1</f>
        <v/>
      </c>
      <c r="T31" s="11">
        <f>T29/Q29-1</f>
        <v/>
      </c>
      <c r="U31" s="11">
        <f>U29/R29-1</f>
        <v/>
      </c>
      <c r="V31" s="11">
        <f>V29/S29-1</f>
        <v/>
      </c>
      <c r="W31" s="11">
        <f>W29/T29-1</f>
        <v/>
      </c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</row>
    <row r="32"/>
    <row r="33"/>
    <row r="34">
      <c r="A34" s="6" t="inlineStr">
        <is>
          <t>NCAV / Share</t>
        </is>
      </c>
      <c r="D34" s="9">
        <f>D23/D20</f>
        <v/>
      </c>
      <c r="E34" s="9">
        <f>E23/E20</f>
        <v/>
      </c>
      <c r="F34" s="9">
        <f>F23/F20</f>
        <v/>
      </c>
      <c r="G34" s="9">
        <f>G23/G20</f>
        <v/>
      </c>
      <c r="H34" s="9">
        <f>H23/H20</f>
        <v/>
      </c>
      <c r="I34" s="9">
        <f>I23/I20</f>
        <v/>
      </c>
      <c r="J34" s="9">
        <f>J23/J20</f>
        <v/>
      </c>
      <c r="K34" s="9">
        <f>K23/K20</f>
        <v/>
      </c>
      <c r="L34" s="9">
        <f>L23/L20</f>
        <v/>
      </c>
      <c r="M34" s="9">
        <f>M23/M20</f>
        <v/>
      </c>
      <c r="N34" s="9">
        <f>N23/N20</f>
        <v/>
      </c>
      <c r="O34" s="9">
        <f>O23/O20</f>
        <v/>
      </c>
      <c r="P34" s="9">
        <f>P23/P20</f>
        <v/>
      </c>
      <c r="Q34" s="9">
        <f>Q23/Q20</f>
        <v/>
      </c>
      <c r="R34" s="9">
        <f>R23/R20</f>
        <v/>
      </c>
      <c r="S34" s="57">
        <f>S23/S20</f>
        <v/>
      </c>
      <c r="T34" s="57">
        <f>T23/T20</f>
        <v/>
      </c>
      <c r="U34" s="9">
        <f>U23/U20</f>
        <v/>
      </c>
      <c r="V34" s="9">
        <f>V23/V20</f>
        <v/>
      </c>
      <c r="W34" s="9">
        <f>W23/W20</f>
        <v/>
      </c>
      <c r="X34" s="9">
        <f>X23/X20</f>
        <v/>
      </c>
      <c r="Y34" s="9">
        <f>Y23/Y20</f>
        <v/>
      </c>
      <c r="Z34" s="9">
        <f>Z23/Z20</f>
        <v/>
      </c>
      <c r="AA34" s="9">
        <f>AA23/AA20</f>
        <v/>
      </c>
      <c r="AB34" s="9">
        <f>AB23/AB20</f>
        <v/>
      </c>
      <c r="AC34" s="9">
        <f>AC23/AC20</f>
        <v/>
      </c>
      <c r="AD34" s="9">
        <f>AD23/AD20</f>
        <v/>
      </c>
      <c r="AE34" s="9">
        <f>AE23/AE20</f>
        <v/>
      </c>
      <c r="AF34" s="9">
        <f>AF23/AF20</f>
        <v/>
      </c>
      <c r="AG34" s="9">
        <f>AG23/AG20</f>
        <v/>
      </c>
      <c r="AH34" s="9">
        <f>AH23/AH20</f>
        <v/>
      </c>
      <c r="AI34" s="9">
        <f>AI23/AI20</f>
        <v/>
      </c>
      <c r="AJ34" s="9">
        <f>AJ23/AJ20</f>
        <v/>
      </c>
      <c r="AK34" s="9">
        <f>AK23/AK20</f>
        <v/>
      </c>
      <c r="AL34" s="9">
        <f>AL23/AL20</f>
        <v/>
      </c>
      <c r="AM34" s="9">
        <f>AM23/AM20</f>
        <v/>
      </c>
      <c r="AN34" s="9">
        <f>AN23/AN20</f>
        <v/>
      </c>
      <c r="AO34" s="9">
        <f>AO23/AO20</f>
        <v/>
      </c>
      <c r="AP34" s="9">
        <f>AP23/AP20</f>
        <v/>
      </c>
      <c r="AQ34" s="9">
        <f>AQ23/AQ20</f>
        <v/>
      </c>
    </row>
    <row r="35" customFormat="1" s="10">
      <c r="B35" s="10" t="inlineStr">
        <is>
          <t>% QoQ</t>
        </is>
      </c>
      <c r="D35" s="11" t="n"/>
      <c r="E35" s="11">
        <f>E34/D34-1</f>
        <v/>
      </c>
      <c r="F35" s="11">
        <f>F34/E34-1</f>
        <v/>
      </c>
      <c r="G35" s="11">
        <f>G34/F34-1</f>
        <v/>
      </c>
      <c r="H35" s="11">
        <f>H34/G34-1</f>
        <v/>
      </c>
      <c r="I35" s="11">
        <f>I34/H34-1</f>
        <v/>
      </c>
      <c r="J35" s="11">
        <f>J34/I34-1</f>
        <v/>
      </c>
      <c r="K35" s="11">
        <f>K34/J34-1</f>
        <v/>
      </c>
      <c r="L35" s="11">
        <f>L34/K34-1</f>
        <v/>
      </c>
      <c r="M35" s="11">
        <f>M34/L34-1</f>
        <v/>
      </c>
      <c r="N35" s="11">
        <f>N34/M34-1</f>
        <v/>
      </c>
      <c r="O35" s="11">
        <f>O34/N34-1</f>
        <v/>
      </c>
      <c r="P35" s="11">
        <f>P34/O34-1</f>
        <v/>
      </c>
      <c r="Q35" s="11">
        <f>Q34/P34-1</f>
        <v/>
      </c>
      <c r="R35" s="58">
        <f>R34/Q34-1</f>
        <v/>
      </c>
      <c r="S35" s="58">
        <f>S34/R34-1</f>
        <v/>
      </c>
      <c r="T35" s="11">
        <f>T34/S34-1</f>
        <v/>
      </c>
      <c r="U35" s="11">
        <f>U34/T34-1</f>
        <v/>
      </c>
      <c r="V35" s="11">
        <f>V34/U34-1</f>
        <v/>
      </c>
      <c r="W35" s="11">
        <f>W34/V34-1</f>
        <v/>
      </c>
      <c r="X35" s="11">
        <f>X34/W34-1</f>
        <v/>
      </c>
      <c r="Y35" s="11">
        <f>Y34/X34-1</f>
        <v/>
      </c>
      <c r="Z35" s="11">
        <f>Z34/Y34-1</f>
        <v/>
      </c>
      <c r="AA35" s="11">
        <f>AA34/Z34-1</f>
        <v/>
      </c>
      <c r="AB35" s="11">
        <f>AB34/AA34-1</f>
        <v/>
      </c>
      <c r="AC35" s="11">
        <f>AC34/AB34-1</f>
        <v/>
      </c>
      <c r="AD35" s="11">
        <f>AD34/AC34-1</f>
        <v/>
      </c>
      <c r="AE35" s="11">
        <f>AE34/AD34-1</f>
        <v/>
      </c>
      <c r="AF35" s="11">
        <f>AF34/AE34-1</f>
        <v/>
      </c>
      <c r="AG35" s="11">
        <f>AG34/AF34-1</f>
        <v/>
      </c>
      <c r="AH35" s="11">
        <f>AH34/AG34-1</f>
        <v/>
      </c>
      <c r="AI35" s="11">
        <f>AI34/AH34-1</f>
        <v/>
      </c>
      <c r="AJ35" s="11">
        <f>AJ34/AI34-1</f>
        <v/>
      </c>
      <c r="AK35" s="11">
        <f>AK34/AJ34-1</f>
        <v/>
      </c>
      <c r="AL35" s="11">
        <f>AL34/AK34-1</f>
        <v/>
      </c>
      <c r="AM35" s="11">
        <f>AM34/AL34-1</f>
        <v/>
      </c>
      <c r="AN35" s="11">
        <f>AN34/AM34-1</f>
        <v/>
      </c>
      <c r="AO35" s="11">
        <f>AO34/AN34-1</f>
        <v/>
      </c>
      <c r="AP35" s="11">
        <f>AP34/AO34-1</f>
        <v/>
      </c>
      <c r="AQ35" s="11">
        <f>AQ34/AP34-1</f>
        <v/>
      </c>
    </row>
    <row r="36" customFormat="1" s="10">
      <c r="B36" s="10" t="inlineStr">
        <is>
          <t>% YoY</t>
        </is>
      </c>
      <c r="D36" s="11" t="n"/>
      <c r="E36" s="11" t="n"/>
      <c r="F36" s="11" t="n"/>
      <c r="G36" s="11" t="n"/>
      <c r="H36" s="11">
        <f>H34/D34-1</f>
        <v/>
      </c>
      <c r="I36" s="11">
        <f>I34/E34-1</f>
        <v/>
      </c>
      <c r="J36" s="11">
        <f>J34/F34-1</f>
        <v/>
      </c>
      <c r="K36" s="11">
        <f>K34/G34-1</f>
        <v/>
      </c>
      <c r="L36" s="11">
        <f>L34/H34-1</f>
        <v/>
      </c>
      <c r="M36" s="11">
        <f>M34/I34-1</f>
        <v/>
      </c>
      <c r="N36" s="11">
        <f>N34/J34-1</f>
        <v/>
      </c>
      <c r="O36" s="11">
        <f>O34/K34-1</f>
        <v/>
      </c>
      <c r="P36" s="11">
        <f>P34/L34-1</f>
        <v/>
      </c>
      <c r="Q36" s="11">
        <f>Q34/M34-1</f>
        <v/>
      </c>
      <c r="R36" s="11">
        <f>R34/N34-1</f>
        <v/>
      </c>
      <c r="S36" s="11">
        <f>S34/O34-1</f>
        <v/>
      </c>
      <c r="T36" s="11">
        <f>T34/P34-1</f>
        <v/>
      </c>
      <c r="U36" s="11">
        <f>U34/Q34-1</f>
        <v/>
      </c>
      <c r="V36" s="11">
        <f>V34/R34-1</f>
        <v/>
      </c>
      <c r="W36" s="11">
        <f>W34/S34-1</f>
        <v/>
      </c>
      <c r="X36" s="11">
        <f>X34/T34-1</f>
        <v/>
      </c>
      <c r="Y36" s="11">
        <f>Y34/U34-1</f>
        <v/>
      </c>
      <c r="Z36" s="11">
        <f>Z34/V34-1</f>
        <v/>
      </c>
      <c r="AA36" s="11">
        <f>AA34/W34-1</f>
        <v/>
      </c>
      <c r="AB36" s="11">
        <f>AB34/X34-1</f>
        <v/>
      </c>
      <c r="AC36" s="11">
        <f>AC34/Y34-1</f>
        <v/>
      </c>
      <c r="AD36" s="11">
        <f>AD34/Z34-1</f>
        <v/>
      </c>
      <c r="AE36" s="11">
        <f>AE34/AA34-1</f>
        <v/>
      </c>
      <c r="AF36" s="11">
        <f>AF34/AB34-1</f>
        <v/>
      </c>
      <c r="AG36" s="11">
        <f>AG34/AC34-1</f>
        <v/>
      </c>
      <c r="AH36" s="11">
        <f>AH34/AD34-1</f>
        <v/>
      </c>
      <c r="AI36" s="11">
        <f>AI34/AE34-1</f>
        <v/>
      </c>
      <c r="AJ36" s="11">
        <f>AJ34/AF34-1</f>
        <v/>
      </c>
      <c r="AK36" s="11">
        <f>AK34/AG34-1</f>
        <v/>
      </c>
      <c r="AL36" s="11">
        <f>AL34/AH34-1</f>
        <v/>
      </c>
      <c r="AM36" s="11">
        <f>AM34/AI34-1</f>
        <v/>
      </c>
      <c r="AN36" s="11">
        <f>AN34/AJ34-1</f>
        <v/>
      </c>
      <c r="AO36" s="11">
        <f>AO34/AK34-1</f>
        <v/>
      </c>
      <c r="AP36" s="11">
        <f>AP34/AL34-1</f>
        <v/>
      </c>
      <c r="AQ36" s="11">
        <f>AQ34/AM34-1</f>
        <v/>
      </c>
    </row>
    <row r="37" customFormat="1" s="10"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</row>
    <row r="38" customFormat="1" s="10">
      <c r="A38" s="6" t="inlineStr">
        <is>
          <t>Discounted NCAV / Share</t>
        </is>
      </c>
      <c r="D38" s="9">
        <f>D24/D20</f>
        <v/>
      </c>
      <c r="E38" s="9">
        <f>E24/E20</f>
        <v/>
      </c>
      <c r="F38" s="9">
        <f>F24/F20</f>
        <v/>
      </c>
      <c r="G38" s="9">
        <f>G24/G20</f>
        <v/>
      </c>
      <c r="H38" s="9">
        <f>H24/H20</f>
        <v/>
      </c>
      <c r="I38" s="9">
        <f>I24/I20</f>
        <v/>
      </c>
      <c r="J38" s="9">
        <f>J24/J20</f>
        <v/>
      </c>
      <c r="K38" s="9">
        <f>K24/K20</f>
        <v/>
      </c>
      <c r="L38" s="9">
        <f>L24/L20</f>
        <v/>
      </c>
      <c r="M38" s="9">
        <f>M24/M20</f>
        <v/>
      </c>
      <c r="N38" s="9">
        <f>N24/N20</f>
        <v/>
      </c>
      <c r="O38" s="9">
        <f>O24/O20</f>
        <v/>
      </c>
      <c r="P38" s="9">
        <f>P24/P20</f>
        <v/>
      </c>
      <c r="Q38" s="9">
        <f>Q24/Q20</f>
        <v/>
      </c>
      <c r="R38" s="9">
        <f>R24/R20</f>
        <v/>
      </c>
      <c r="S38" s="9">
        <f>S24/S20</f>
        <v/>
      </c>
      <c r="T38" s="9">
        <f>T24/T20</f>
        <v/>
      </c>
      <c r="U38" s="9">
        <f>U24/U20</f>
        <v/>
      </c>
      <c r="V38" s="9">
        <f>V24/V20</f>
        <v/>
      </c>
      <c r="W38" s="9">
        <f>W24/W20</f>
        <v/>
      </c>
      <c r="X38" s="9">
        <f>X24/X20</f>
        <v/>
      </c>
      <c r="Y38" s="9">
        <f>Y24/Y20</f>
        <v/>
      </c>
      <c r="Z38" s="9">
        <f>Z24/Z20</f>
        <v/>
      </c>
      <c r="AA38" s="9">
        <f>AA24/AA20</f>
        <v/>
      </c>
      <c r="AB38" s="9">
        <f>AB24/AB20</f>
        <v/>
      </c>
      <c r="AC38" s="9">
        <f>AC24/AC20</f>
        <v/>
      </c>
      <c r="AD38" s="9">
        <f>AD24/AD20</f>
        <v/>
      </c>
      <c r="AE38" s="9">
        <f>AE24/AE20</f>
        <v/>
      </c>
      <c r="AF38" s="9">
        <f>AF24/AF20</f>
        <v/>
      </c>
      <c r="AG38" s="9">
        <f>AG24/AG20</f>
        <v/>
      </c>
      <c r="AH38" s="9">
        <f>AH24/AH20</f>
        <v/>
      </c>
      <c r="AI38" s="9">
        <f>AI24/AI20</f>
        <v/>
      </c>
      <c r="AJ38" s="9">
        <f>AJ24/AJ20</f>
        <v/>
      </c>
      <c r="AK38" s="9">
        <f>AK24/AK20</f>
        <v/>
      </c>
      <c r="AL38" s="9">
        <f>AL24/AL20</f>
        <v/>
      </c>
      <c r="AM38" s="9">
        <f>AM24/AM20</f>
        <v/>
      </c>
      <c r="AN38" s="9">
        <f>AN24/AN20</f>
        <v/>
      </c>
      <c r="AO38" s="9">
        <f>AO24/AO20</f>
        <v/>
      </c>
      <c r="AP38" s="9">
        <f>AP24/AP20</f>
        <v/>
      </c>
      <c r="AQ38" s="9">
        <f>AQ24/AQ20</f>
        <v/>
      </c>
    </row>
    <row r="39" customFormat="1" s="10"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</row>
    <row r="40" customFormat="1" s="10"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</row>
    <row r="41" customFormat="1" s="10">
      <c r="A41" s="10" t="inlineStr">
        <is>
          <t>Net Cash / Share</t>
        </is>
      </c>
      <c r="D41" s="30">
        <f>IFERROR(D22/D20, "NA")</f>
        <v/>
      </c>
      <c r="E41" s="30">
        <f>IFERROR(E22/E20, "NA")</f>
        <v/>
      </c>
      <c r="F41" s="30">
        <f>IFERROR(F22/F20, "NA")</f>
        <v/>
      </c>
      <c r="G41" s="30">
        <f>IFERROR(G22/G20, "NA")</f>
        <v/>
      </c>
      <c r="H41" s="30">
        <f>IFERROR(H22/H20, "NA")</f>
        <v/>
      </c>
      <c r="I41" s="30">
        <f>IFERROR(I22/I20, "NA")</f>
        <v/>
      </c>
      <c r="J41" s="30">
        <f>IFERROR(J22/J20, "NA")</f>
        <v/>
      </c>
      <c r="K41" s="30">
        <f>IFERROR(K22/K20, "NA")</f>
        <v/>
      </c>
      <c r="L41" s="30">
        <f>IFERROR(L22/L20, "NA")</f>
        <v/>
      </c>
      <c r="M41" s="30">
        <f>IFERROR(M22/M20, "NA")</f>
        <v/>
      </c>
      <c r="N41" s="30">
        <f>IFERROR(N22/N20, "NA")</f>
        <v/>
      </c>
      <c r="O41" s="30">
        <f>IFERROR(O22/O20, "NA")</f>
        <v/>
      </c>
      <c r="P41" s="30">
        <f>IFERROR(P22/P20, "NA")</f>
        <v/>
      </c>
      <c r="Q41" s="30">
        <f>IFERROR(Q22/Q20, "NA")</f>
        <v/>
      </c>
      <c r="R41" s="30">
        <f>IFERROR(R22/R20, "NA")</f>
        <v/>
      </c>
      <c r="S41" s="30">
        <f>IFERROR(S22/S20, "NA")</f>
        <v/>
      </c>
      <c r="T41" s="30">
        <f>IFERROR(T22/T20, "NA")</f>
        <v/>
      </c>
      <c r="U41" s="30">
        <f>IFERROR(U22/U20, "NA")</f>
        <v/>
      </c>
      <c r="V41" s="30">
        <f>IFERROR(V22/V20, "NA")</f>
        <v/>
      </c>
      <c r="W41" s="30">
        <f>IFERROR(W22/W20, "NA")</f>
        <v/>
      </c>
      <c r="X41" s="30">
        <f>IFERROR(X22/X20, "NA")</f>
        <v/>
      </c>
      <c r="Y41" s="30">
        <f>IFERROR(Y22/Y20, "NA")</f>
        <v/>
      </c>
      <c r="Z41" s="30">
        <f>IFERROR(Z22/Z20, "NA")</f>
        <v/>
      </c>
      <c r="AA41" s="30">
        <f>IFERROR(AA22/AA20, "NA")</f>
        <v/>
      </c>
      <c r="AB41" s="30">
        <f>IFERROR(AB22/AB20, "NA")</f>
        <v/>
      </c>
      <c r="AC41" s="30">
        <f>IFERROR(AC22/AC20, "NA")</f>
        <v/>
      </c>
      <c r="AD41" s="30">
        <f>IFERROR(AD22/AD20, "NA")</f>
        <v/>
      </c>
      <c r="AE41" s="30">
        <f>IFERROR(AE22/AE20, "NA")</f>
        <v/>
      </c>
      <c r="AF41" s="30">
        <f>IFERROR(AF22/AF20, "NA")</f>
        <v/>
      </c>
      <c r="AG41" s="30">
        <f>IFERROR(AG22/AG20, "NA")</f>
        <v/>
      </c>
      <c r="AH41" s="30">
        <f>IFERROR(AH22/AH20, "NA")</f>
        <v/>
      </c>
      <c r="AI41" s="30">
        <f>IFERROR(AI22/AI20, "NA")</f>
        <v/>
      </c>
      <c r="AJ41" s="30">
        <f>IFERROR(AJ22/AJ20, "NA")</f>
        <v/>
      </c>
      <c r="AK41" s="30">
        <f>IFERROR(AK22/AK20, "NA")</f>
        <v/>
      </c>
      <c r="AL41" s="30">
        <f>IFERROR(AL22/AL20, "NA")</f>
        <v/>
      </c>
      <c r="AM41" s="30">
        <f>IFERROR(AM22/AM20, "NA")</f>
        <v/>
      </c>
      <c r="AN41" s="30">
        <f>IFERROR(AN22/AN20, "NA")</f>
        <v/>
      </c>
      <c r="AO41" s="30">
        <f>IFERROR(AO22/AO20, "NA")</f>
        <v/>
      </c>
      <c r="AP41" s="30">
        <f>IFERROR(AP22/AP20, "NA")</f>
        <v/>
      </c>
      <c r="AQ41" s="30">
        <f>IFERROR(AQ22/AQ20, "NA")</f>
        <v/>
      </c>
    </row>
    <row r="42" customFormat="1" s="10">
      <c r="B42" s="11" t="inlineStr">
        <is>
          <t>% QoQ</t>
        </is>
      </c>
      <c r="C42" s="11" t="n"/>
      <c r="D42" s="34">
        <f>IFERROR(D41/#REF!-1, "NA")</f>
        <v/>
      </c>
      <c r="E42" s="34">
        <f>IFERROR(E41/D41-1, "NA")</f>
        <v/>
      </c>
      <c r="F42" s="34">
        <f>IFERROR(F41/E41-1, "NA")</f>
        <v/>
      </c>
      <c r="G42" s="34">
        <f>IFERROR(G41/F41-1, "NA")</f>
        <v/>
      </c>
      <c r="H42" s="34">
        <f>IFERROR(H41/G41-1, "NA")</f>
        <v/>
      </c>
      <c r="I42" s="34">
        <f>IFERROR(I41/H41-1, "NA")</f>
        <v/>
      </c>
      <c r="J42" s="34">
        <f>IFERROR(J41/I41-1, "NA")</f>
        <v/>
      </c>
      <c r="K42" s="34">
        <f>IFERROR(K41/J41-1, "NA")</f>
        <v/>
      </c>
      <c r="L42" s="34">
        <f>IFERROR(L41/K41-1, "NA")</f>
        <v/>
      </c>
      <c r="M42" s="34">
        <f>IFERROR(M41/L41-1, "NA")</f>
        <v/>
      </c>
      <c r="N42" s="34">
        <f>IFERROR(N41/M41-1, "NA")</f>
        <v/>
      </c>
      <c r="O42" s="34">
        <f>IFERROR(O41/N41-1, "NA")</f>
        <v/>
      </c>
      <c r="P42" s="34">
        <f>IFERROR(P41/O41-1, "NA")</f>
        <v/>
      </c>
      <c r="Q42" s="34">
        <f>IFERROR(Q41/P41-1, "NA")</f>
        <v/>
      </c>
      <c r="R42" s="34">
        <f>IFERROR(R41/Q41-1, "NA")</f>
        <v/>
      </c>
      <c r="S42" s="34">
        <f>IFERROR(S41/R41-1, "NA")</f>
        <v/>
      </c>
      <c r="T42" s="34">
        <f>IFERROR(T41/S41-1, "NA")</f>
        <v/>
      </c>
      <c r="U42" s="34">
        <f>IFERROR(U41/T41-1, "NA")</f>
        <v/>
      </c>
      <c r="V42" s="34">
        <f>IFERROR(V41/U41-1, "NA")</f>
        <v/>
      </c>
      <c r="W42" s="34">
        <f>IFERROR(W41/V41-1, "NA")</f>
        <v/>
      </c>
      <c r="X42" s="34">
        <f>IFERROR(X41/W41-1, "NA")</f>
        <v/>
      </c>
      <c r="Y42" s="34">
        <f>IFERROR(Y41/X41-1, "NA")</f>
        <v/>
      </c>
      <c r="Z42" s="34">
        <f>IFERROR(Z41/Y41-1, "NA")</f>
        <v/>
      </c>
      <c r="AA42" s="34">
        <f>IFERROR(AA41/Z41-1, "NA")</f>
        <v/>
      </c>
      <c r="AB42" s="34">
        <f>IFERROR(AB41/AA41-1, "NA")</f>
        <v/>
      </c>
      <c r="AC42" s="34">
        <f>IFERROR(AC41/AB41-1, "NA")</f>
        <v/>
      </c>
      <c r="AD42" s="34">
        <f>IFERROR(AD41/AC41-1, "NA")</f>
        <v/>
      </c>
      <c r="AE42" s="34">
        <f>IFERROR(AE41/AD41-1, "NA")</f>
        <v/>
      </c>
      <c r="AF42" s="34">
        <f>IFERROR(AF41/AE41-1, "NA")</f>
        <v/>
      </c>
      <c r="AG42" s="34">
        <f>IFERROR(AG41/AF41-1, "NA")</f>
        <v/>
      </c>
      <c r="AH42" s="34">
        <f>IFERROR(AH41/AG41-1, "NA")</f>
        <v/>
      </c>
      <c r="AI42" s="34">
        <f>IFERROR(AI41/AH41-1, "NA")</f>
        <v/>
      </c>
      <c r="AJ42" s="34">
        <f>IFERROR(AJ41/AI41-1, "NA")</f>
        <v/>
      </c>
      <c r="AK42" s="34">
        <f>IFERROR(AK41/AJ41-1, "NA")</f>
        <v/>
      </c>
      <c r="AL42" s="34">
        <f>IFERROR(AL41/AK41-1, "NA")</f>
        <v/>
      </c>
      <c r="AM42" s="34">
        <f>IFERROR(AM41/AL41-1, "NA")</f>
        <v/>
      </c>
      <c r="AN42" s="34">
        <f>IFERROR(AN41/AM41-1, "NA")</f>
        <v/>
      </c>
      <c r="AO42" s="34">
        <f>IFERROR(AO41/AN41-1, "NA")</f>
        <v/>
      </c>
      <c r="AP42" s="34">
        <f>IFERROR(AP41/AO41-1, "NA")</f>
        <v/>
      </c>
      <c r="AQ42" s="34">
        <f>IFERROR(AQ41/AP41-1, "NA")</f>
        <v/>
      </c>
    </row>
    <row r="43" customFormat="1" s="10"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</row>
    <row r="44"/>
    <row r="45">
      <c r="A45" s="6" t="inlineStr">
        <is>
          <t>Price</t>
        </is>
      </c>
      <c r="R45" s="26" t="n"/>
      <c r="T45" s="26" t="n"/>
      <c r="AQ45" s="37" t="n">
        <v>5.1</v>
      </c>
      <c r="AR45" s="6" t="inlineStr">
        <is>
          <t>Buy below:</t>
        </is>
      </c>
      <c r="AS45" s="9">
        <f>W34*AS46</f>
        <v/>
      </c>
    </row>
    <row r="46">
      <c r="A46" s="6" t="inlineStr">
        <is>
          <t>P / NCAV</t>
        </is>
      </c>
      <c r="R46" s="12" t="n"/>
      <c r="T46" s="12" t="n"/>
      <c r="AQ46" s="12">
        <f>AQ45/AQ34</f>
        <v/>
      </c>
      <c r="AS46" s="13" t="n">
        <v>0.667</v>
      </c>
    </row>
    <row r="47">
      <c r="A47" s="6" t="inlineStr">
        <is>
          <t>P / Discounted NCAV</t>
        </is>
      </c>
      <c r="R47" s="12" t="n"/>
      <c r="T47" s="12" t="n"/>
      <c r="AQ47" s="12">
        <f>AQ45/AQ38</f>
        <v/>
      </c>
      <c r="AS47" s="13" t="n"/>
    </row>
    <row r="48">
      <c r="A48" s="6" t="inlineStr">
        <is>
          <t>P / NTA</t>
        </is>
      </c>
      <c r="R48" s="12" t="n"/>
      <c r="T48" s="12" t="n"/>
      <c r="AQ48" s="49">
        <f>AQ45/AQ29</f>
        <v/>
      </c>
      <c r="AS48" s="13" t="n"/>
    </row>
    <row r="49">
      <c r="A49" s="6" t="inlineStr">
        <is>
          <t>P / Net Cash</t>
        </is>
      </c>
      <c r="R49" s="24" t="n"/>
      <c r="T49" s="24" t="n"/>
      <c r="AQ49" s="30">
        <f>IFERROR(AQ45/AQ41, "NA")</f>
        <v/>
      </c>
      <c r="AS49" s="13" t="n"/>
    </row>
    <row r="50">
      <c r="R50" s="24" t="n"/>
    </row>
    <row r="51">
      <c r="R51" s="24" t="n"/>
    </row>
    <row r="52">
      <c r="A52" s="6" t="inlineStr">
        <is>
          <t>D / Assets</t>
        </is>
      </c>
      <c r="D52" s="12">
        <f>D15/D9</f>
        <v/>
      </c>
      <c r="E52" s="12">
        <f>E15/E9</f>
        <v/>
      </c>
      <c r="F52" s="12">
        <f>F15/F9</f>
        <v/>
      </c>
      <c r="G52" s="12">
        <f>G15/G9</f>
        <v/>
      </c>
      <c r="H52" s="12">
        <f>H15/H9</f>
        <v/>
      </c>
      <c r="I52" s="12">
        <f>I15/I9</f>
        <v/>
      </c>
      <c r="J52" s="12">
        <f>J15/J9</f>
        <v/>
      </c>
      <c r="K52" s="12">
        <f>K15/K9</f>
        <v/>
      </c>
      <c r="L52" s="12">
        <f>L15/L9</f>
        <v/>
      </c>
      <c r="M52" s="12">
        <f>M15/M9</f>
        <v/>
      </c>
      <c r="N52" s="12">
        <f>N15/N9</f>
        <v/>
      </c>
      <c r="O52" s="12">
        <f>O15/O9</f>
        <v/>
      </c>
      <c r="P52" s="12">
        <f>P15/P9</f>
        <v/>
      </c>
      <c r="Q52" s="12">
        <f>Q15/Q9</f>
        <v/>
      </c>
      <c r="R52" s="12">
        <f>R15/R9</f>
        <v/>
      </c>
      <c r="S52" s="12">
        <f>S15/S9</f>
        <v/>
      </c>
      <c r="T52" s="12">
        <f>T15/T9</f>
        <v/>
      </c>
      <c r="U52" s="12">
        <f>U15/U9</f>
        <v/>
      </c>
      <c r="V52" s="12">
        <f>V15/V9</f>
        <v/>
      </c>
      <c r="W52" s="12">
        <f>W15/W9</f>
        <v/>
      </c>
      <c r="X52" s="12">
        <f>X15/X9</f>
        <v/>
      </c>
      <c r="Y52" s="12">
        <f>Y15/Y9</f>
        <v/>
      </c>
      <c r="Z52" s="12">
        <f>Z15/Z9</f>
        <v/>
      </c>
      <c r="AA52" s="12">
        <f>AA15/AA9</f>
        <v/>
      </c>
      <c r="AB52" s="12">
        <f>AB15/AB9</f>
        <v/>
      </c>
      <c r="AC52" s="12">
        <f>AC15/AC9</f>
        <v/>
      </c>
      <c r="AD52" s="12">
        <f>AD15/AD9</f>
        <v/>
      </c>
      <c r="AE52" s="12">
        <f>AE15/AE9</f>
        <v/>
      </c>
      <c r="AF52" s="12">
        <f>AF15/AF9</f>
        <v/>
      </c>
      <c r="AG52" s="12">
        <f>AG15/AG9</f>
        <v/>
      </c>
      <c r="AH52" s="12">
        <f>AH15/AH9</f>
        <v/>
      </c>
      <c r="AI52" s="12">
        <f>AI15/AI9</f>
        <v/>
      </c>
      <c r="AJ52" s="12">
        <f>AJ15/AJ9</f>
        <v/>
      </c>
      <c r="AK52" s="12">
        <f>AK15/AK9</f>
        <v/>
      </c>
      <c r="AL52" s="12">
        <f>AL15/AL9</f>
        <v/>
      </c>
      <c r="AM52" s="12">
        <f>AM15/AM9</f>
        <v/>
      </c>
      <c r="AN52" s="12">
        <f>AN15/AN9</f>
        <v/>
      </c>
      <c r="AO52" s="12">
        <f>AO15/AO9</f>
        <v/>
      </c>
      <c r="AP52" s="12">
        <f>AP15/AP9</f>
        <v/>
      </c>
      <c r="AQ52" s="12">
        <f>AQ15/AQ9</f>
        <v/>
      </c>
    </row>
    <row r="53">
      <c r="A53" s="6" t="inlineStr">
        <is>
          <t>D / E</t>
        </is>
      </c>
      <c r="D53" s="12">
        <f>D15/D16</f>
        <v/>
      </c>
      <c r="E53" s="12">
        <f>E15/E16</f>
        <v/>
      </c>
      <c r="F53" s="12">
        <f>F15/F16</f>
        <v/>
      </c>
      <c r="G53" s="12">
        <f>G15/G16</f>
        <v/>
      </c>
      <c r="H53" s="12">
        <f>H15/H16</f>
        <v/>
      </c>
      <c r="I53" s="12">
        <f>I15/I16</f>
        <v/>
      </c>
      <c r="J53" s="12">
        <f>J15/J16</f>
        <v/>
      </c>
      <c r="K53" s="12">
        <f>K15/K16</f>
        <v/>
      </c>
      <c r="L53" s="12">
        <f>L15/L16</f>
        <v/>
      </c>
      <c r="M53" s="12">
        <f>M15/M16</f>
        <v/>
      </c>
      <c r="N53" s="12">
        <f>N15/N16</f>
        <v/>
      </c>
      <c r="O53" s="12">
        <f>O15/O16</f>
        <v/>
      </c>
      <c r="P53" s="12">
        <f>P15/P16</f>
        <v/>
      </c>
      <c r="Q53" s="12">
        <f>Q15/Q16</f>
        <v/>
      </c>
      <c r="R53" s="12">
        <f>R15/R16</f>
        <v/>
      </c>
      <c r="S53" s="12">
        <f>S15/S16</f>
        <v/>
      </c>
      <c r="T53" s="12">
        <f>T15/T16</f>
        <v/>
      </c>
      <c r="U53" s="12">
        <f>U15/U16</f>
        <v/>
      </c>
      <c r="V53" s="12">
        <f>V15/V16</f>
        <v/>
      </c>
      <c r="W53" s="12">
        <f>W15/W16</f>
        <v/>
      </c>
      <c r="X53" s="12">
        <f>X15/X16</f>
        <v/>
      </c>
      <c r="Y53" s="12">
        <f>Y15/Y16</f>
        <v/>
      </c>
      <c r="Z53" s="12">
        <f>Z15/Z16</f>
        <v/>
      </c>
      <c r="AA53" s="12">
        <f>AA15/AA16</f>
        <v/>
      </c>
      <c r="AB53" s="12">
        <f>AB15/AB16</f>
        <v/>
      </c>
      <c r="AC53" s="12">
        <f>AC15/AC16</f>
        <v/>
      </c>
      <c r="AD53" s="12">
        <f>AD15/AD16</f>
        <v/>
      </c>
      <c r="AE53" s="12">
        <f>AE15/AE16</f>
        <v/>
      </c>
      <c r="AF53" s="12">
        <f>AF15/AF16</f>
        <v/>
      </c>
      <c r="AG53" s="12">
        <f>AG15/AG16</f>
        <v/>
      </c>
      <c r="AH53" s="12">
        <f>AH15/AH16</f>
        <v/>
      </c>
      <c r="AI53" s="12">
        <f>AI15/AI16</f>
        <v/>
      </c>
      <c r="AJ53" s="12">
        <f>AJ15/AJ16</f>
        <v/>
      </c>
      <c r="AK53" s="12">
        <f>AK15/AK16</f>
        <v/>
      </c>
      <c r="AL53" s="12">
        <f>AL15/AL16</f>
        <v/>
      </c>
      <c r="AM53" s="12">
        <f>AM15/AM16</f>
        <v/>
      </c>
      <c r="AN53" s="12">
        <f>AN15/AN16</f>
        <v/>
      </c>
      <c r="AO53" s="12">
        <f>AO15/AO16</f>
        <v/>
      </c>
      <c r="AP53" s="12">
        <f>AP15/AP16</f>
        <v/>
      </c>
      <c r="AQ53" s="12">
        <f>AQ15/AQ16</f>
        <v/>
      </c>
    </row>
    <row r="54">
      <c r="A54" s="6" t="inlineStr">
        <is>
          <t>Total Liabilities / Equity</t>
        </is>
      </c>
      <c r="D54" s="12">
        <f>D13/D16</f>
        <v/>
      </c>
      <c r="E54" s="12">
        <f>E13/E16</f>
        <v/>
      </c>
      <c r="F54" s="12">
        <f>F13/F16</f>
        <v/>
      </c>
      <c r="G54" s="12">
        <f>G13/G16</f>
        <v/>
      </c>
      <c r="H54" s="12">
        <f>H13/H16</f>
        <v/>
      </c>
      <c r="I54" s="12">
        <f>I13/I16</f>
        <v/>
      </c>
      <c r="J54" s="12">
        <f>J13/J16</f>
        <v/>
      </c>
      <c r="K54" s="12">
        <f>K13/K16</f>
        <v/>
      </c>
      <c r="L54" s="12">
        <f>L13/L16</f>
        <v/>
      </c>
      <c r="M54" s="12">
        <f>M13/M16</f>
        <v/>
      </c>
      <c r="N54" s="12">
        <f>N13/N16</f>
        <v/>
      </c>
      <c r="O54" s="12">
        <f>O13/O16</f>
        <v/>
      </c>
      <c r="P54" s="12">
        <f>P13/P16</f>
        <v/>
      </c>
      <c r="Q54" s="12">
        <f>Q13/Q16</f>
        <v/>
      </c>
      <c r="R54" s="12">
        <f>R13/R16</f>
        <v/>
      </c>
      <c r="S54" s="12">
        <f>S13/S16</f>
        <v/>
      </c>
      <c r="T54" s="12">
        <f>T13/T16</f>
        <v/>
      </c>
      <c r="U54" s="12">
        <f>U13/U16</f>
        <v/>
      </c>
      <c r="V54" s="12">
        <f>V13/V16</f>
        <v/>
      </c>
      <c r="W54" s="12">
        <f>W13/W16</f>
        <v/>
      </c>
      <c r="X54" s="12">
        <f>X13/X16</f>
        <v/>
      </c>
      <c r="Y54" s="12">
        <f>Y13/Y16</f>
        <v/>
      </c>
      <c r="Z54" s="12">
        <f>Z13/Z16</f>
        <v/>
      </c>
      <c r="AA54" s="12">
        <f>AA13/AA16</f>
        <v/>
      </c>
      <c r="AB54" s="12">
        <f>AB13/AB16</f>
        <v/>
      </c>
      <c r="AC54" s="12">
        <f>AC13/AC16</f>
        <v/>
      </c>
      <c r="AD54" s="12">
        <f>AD13/AD16</f>
        <v/>
      </c>
      <c r="AE54" s="12">
        <f>AE13/AE16</f>
        <v/>
      </c>
      <c r="AF54" s="12">
        <f>AF13/AF16</f>
        <v/>
      </c>
      <c r="AG54" s="12">
        <f>AG13/AG16</f>
        <v/>
      </c>
      <c r="AH54" s="12">
        <f>AH13/AH16</f>
        <v/>
      </c>
      <c r="AI54" s="12">
        <f>AI13/AI16</f>
        <v/>
      </c>
      <c r="AJ54" s="12">
        <f>AJ13/AJ16</f>
        <v/>
      </c>
      <c r="AK54" s="12">
        <f>AK13/AK16</f>
        <v/>
      </c>
      <c r="AL54" s="12">
        <f>AL13/AL16</f>
        <v/>
      </c>
      <c r="AM54" s="12">
        <f>AM13/AM16</f>
        <v/>
      </c>
      <c r="AN54" s="12">
        <f>AN13/AN16</f>
        <v/>
      </c>
      <c r="AO54" s="12">
        <f>AO13/AO16</f>
        <v/>
      </c>
      <c r="AP54" s="12">
        <f>AP13/AP16</f>
        <v/>
      </c>
      <c r="AQ54" s="12">
        <f>AQ13/AQ16</f>
        <v/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" right="0.7" top="0.75" bottom="0.75" header="0.3" footer="0.3"/>
  <pageSetup orientation="portrait" horizontalDpi="1200" verticalDpi="120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99"/>
  <sheetViews>
    <sheetView zoomScale="85" zoomScaleNormal="85" workbookViewId="0">
      <pane xSplit="2" ySplit="1" topLeftCell="AE2" activePane="bottomRight" state="frozen"/>
      <selection pane="topRight" activeCell="C1" sqref="C1"/>
      <selection pane="bottomLeft" activeCell="A2" sqref="A2"/>
      <selection pane="bottomRight" activeCell="AO11" sqref="AO11"/>
    </sheetView>
  </sheetViews>
  <sheetFormatPr baseColWidth="8" defaultColWidth="9.140625" defaultRowHeight="12.75"/>
  <cols>
    <col width="2.7109375" customWidth="1" style="6" min="1" max="1"/>
    <col width="22.28515625" customWidth="1" style="6" min="2" max="2"/>
    <col width="12.7109375" customWidth="1" style="6" min="3" max="42"/>
    <col width="9.140625" customWidth="1" style="6" min="43" max="44"/>
    <col width="9.140625" customWidth="1" style="6" min="45" max="16384"/>
  </cols>
  <sheetData>
    <row r="1" ht="15" customHeight="1" s="73">
      <c r="C1" s="55" t="inlineStr">
        <is>
          <t>2015-09-30</t>
        </is>
      </c>
      <c r="D1" s="55" t="inlineStr">
        <is>
          <t>2015-12-31</t>
        </is>
      </c>
      <c r="E1" s="55" t="inlineStr">
        <is>
          <t>2016-03-31</t>
        </is>
      </c>
      <c r="F1" s="55" t="inlineStr">
        <is>
          <t>2016-06-30</t>
        </is>
      </c>
      <c r="G1" s="55" t="inlineStr">
        <is>
          <t>2016-09-30</t>
        </is>
      </c>
      <c r="H1" s="55" t="inlineStr">
        <is>
          <t>2016-12-31</t>
        </is>
      </c>
      <c r="I1" s="55" t="inlineStr">
        <is>
          <t>2017-03-31</t>
        </is>
      </c>
      <c r="J1" s="55" t="inlineStr">
        <is>
          <t>2017-06-30</t>
        </is>
      </c>
      <c r="K1" s="55" t="inlineStr">
        <is>
          <t>2017-09-30</t>
        </is>
      </c>
      <c r="L1" s="55" t="inlineStr">
        <is>
          <t>2017-12-31</t>
        </is>
      </c>
      <c r="M1" s="55" t="inlineStr">
        <is>
          <t>2018-03-31</t>
        </is>
      </c>
      <c r="N1" s="55" t="inlineStr">
        <is>
          <t>2018-06-30</t>
        </is>
      </c>
      <c r="O1" s="55" t="inlineStr">
        <is>
          <t>2018-09-30</t>
        </is>
      </c>
      <c r="P1" s="55" t="inlineStr">
        <is>
          <t>2018-12-31</t>
        </is>
      </c>
      <c r="Q1" s="55" t="inlineStr">
        <is>
          <t>2019-03-31</t>
        </is>
      </c>
      <c r="R1" s="55" t="inlineStr">
        <is>
          <t>2019-06-30</t>
        </is>
      </c>
      <c r="S1" s="55" t="inlineStr">
        <is>
          <t>2019-09-30</t>
        </is>
      </c>
      <c r="T1" s="55" t="inlineStr">
        <is>
          <t>2019-12-31</t>
        </is>
      </c>
      <c r="U1" s="55" t="inlineStr">
        <is>
          <t>2020-03-31</t>
        </is>
      </c>
      <c r="V1" s="55" t="inlineStr">
        <is>
          <t>2020-06-30</t>
        </is>
      </c>
      <c r="W1" t="inlineStr">
        <is>
          <t>2020-09-30</t>
        </is>
      </c>
      <c r="X1" t="inlineStr">
        <is>
          <t>2020-12-31</t>
        </is>
      </c>
      <c r="Y1" t="inlineStr">
        <is>
          <t>2021-03-31</t>
        </is>
      </c>
      <c r="Z1" t="inlineStr">
        <is>
          <t>2021-06-30</t>
        </is>
      </c>
      <c r="AA1" t="inlineStr">
        <is>
          <t>2021-09-30</t>
        </is>
      </c>
      <c r="AB1" t="inlineStr">
        <is>
          <t>2021-12-31</t>
        </is>
      </c>
      <c r="AC1" t="inlineStr">
        <is>
          <t>2022-03-31</t>
        </is>
      </c>
      <c r="AD1" t="inlineStr">
        <is>
          <t>2022-06-30</t>
        </is>
      </c>
      <c r="AE1" t="inlineStr">
        <is>
          <t>2022-09-30</t>
        </is>
      </c>
      <c r="AF1" t="inlineStr">
        <is>
          <t>2022-12-31</t>
        </is>
      </c>
      <c r="AG1" t="inlineStr">
        <is>
          <t>2023-03-31</t>
        </is>
      </c>
      <c r="AH1" t="inlineStr">
        <is>
          <t>2023-06-30</t>
        </is>
      </c>
      <c r="AI1" t="inlineStr">
        <is>
          <t>2023-09-30</t>
        </is>
      </c>
      <c r="AJ1" t="inlineStr">
        <is>
          <t>2023-12-31</t>
        </is>
      </c>
      <c r="AK1" t="inlineStr">
        <is>
          <t>2024-03-31</t>
        </is>
      </c>
      <c r="AL1" t="inlineStr">
        <is>
          <t>2024-06-30</t>
        </is>
      </c>
      <c r="AM1" t="inlineStr">
        <is>
          <t>2024-09-30</t>
        </is>
      </c>
      <c r="AN1" t="inlineStr">
        <is>
          <t>2024-12-31</t>
        </is>
      </c>
      <c r="AO1" t="inlineStr">
        <is>
          <t>2025-03-31</t>
        </is>
      </c>
      <c r="AP1" t="inlineStr">
        <is>
          <t>2025-06-30</t>
        </is>
      </c>
    </row>
    <row r="2" ht="15" customHeight="1" s="73">
      <c r="A2" s="6" t="inlineStr">
        <is>
          <t>Sales</t>
        </is>
      </c>
      <c r="C2" s="27">
        <f>_xlfn.NUMBERVALUE(advaltech_IS!D12)</f>
        <v/>
      </c>
      <c r="D2" s="27">
        <f>_xlfn.NUMBERVALUE(advaltech_IS!E12)</f>
        <v/>
      </c>
      <c r="E2" s="27">
        <f>_xlfn.NUMBERVALUE(advaltech_IS!F12)</f>
        <v/>
      </c>
      <c r="F2" s="27">
        <f>_xlfn.NUMBERVALUE(advaltech_IS!G12)</f>
        <v/>
      </c>
      <c r="G2" s="27">
        <f>_xlfn.NUMBERVALUE(advaltech_IS!H12)</f>
        <v/>
      </c>
      <c r="H2" s="27">
        <f>_xlfn.NUMBERVALUE(advaltech_IS!I12)</f>
        <v/>
      </c>
      <c r="I2" s="27">
        <f>_xlfn.NUMBERVALUE(advaltech_IS!J12)</f>
        <v/>
      </c>
      <c r="J2" s="27">
        <f>_xlfn.NUMBERVALUE(advaltech_IS!K12)</f>
        <v/>
      </c>
      <c r="K2" s="27">
        <f>_xlfn.NUMBERVALUE(advaltech_IS!L12)</f>
        <v/>
      </c>
      <c r="L2" s="27">
        <f>_xlfn.NUMBERVALUE(advaltech_IS!M12)</f>
        <v/>
      </c>
      <c r="M2" s="27">
        <f>_xlfn.NUMBERVALUE(advaltech_IS!N12)</f>
        <v/>
      </c>
      <c r="N2" s="27">
        <f>_xlfn.NUMBERVALUE(advaltech_IS!O12)</f>
        <v/>
      </c>
      <c r="O2" s="27">
        <f>_xlfn.NUMBERVALUE(advaltech_IS!P12)</f>
        <v/>
      </c>
      <c r="P2" s="27">
        <f>_xlfn.NUMBERVALUE(advaltech_IS!Q12)</f>
        <v/>
      </c>
      <c r="Q2" s="27">
        <f>_xlfn.NUMBERVALUE(advaltech_IS!R12)</f>
        <v/>
      </c>
      <c r="R2" s="27">
        <f>_xlfn.NUMBERVALUE(advaltech_IS!S12)</f>
        <v/>
      </c>
      <c r="S2" s="27">
        <f>_xlfn.NUMBERVALUE(advaltech_IS!T12)</f>
        <v/>
      </c>
      <c r="T2" s="27">
        <f>_xlfn.NUMBERVALUE(advaltech_IS!U12)</f>
        <v/>
      </c>
      <c r="U2" s="27">
        <f>_xlfn.NUMBERVALUE(advaltech_IS!V12)</f>
        <v/>
      </c>
      <c r="V2" s="27">
        <f>_xlfn.NUMBERVALUE(advaltech_IS!W12)</f>
        <v/>
      </c>
      <c r="W2" s="27">
        <f>_xlfn.NUMBERVALUE(advaltech_IS!X12)</f>
        <v/>
      </c>
      <c r="X2" s="27">
        <f>_xlfn.NUMBERVALUE(advaltech_IS!Y12)</f>
        <v/>
      </c>
      <c r="Y2" s="27">
        <f>_xlfn.NUMBERVALUE(advaltech_IS!Z12)</f>
        <v/>
      </c>
      <c r="Z2" s="27">
        <f>_xlfn.NUMBERVALUE(advaltech_IS!AA12)</f>
        <v/>
      </c>
      <c r="AA2" s="27">
        <f>_xlfn.NUMBERVALUE(advaltech_IS!AB12)</f>
        <v/>
      </c>
      <c r="AB2" s="27">
        <f>_xlfn.NUMBERVALUE(advaltech_IS!AC12)</f>
        <v/>
      </c>
      <c r="AC2" s="27">
        <f>_xlfn.NUMBERVALUE(advaltech_IS!AD12)</f>
        <v/>
      </c>
      <c r="AD2" s="27">
        <f>_xlfn.NUMBERVALUE(advaltech_IS!AE12)</f>
        <v/>
      </c>
      <c r="AE2" s="27">
        <f>_xlfn.NUMBERVALUE(advaltech_IS!AF12)</f>
        <v/>
      </c>
      <c r="AF2" s="27">
        <f>_xlfn.NUMBERVALUE(advaltech_IS!AG12)</f>
        <v/>
      </c>
      <c r="AG2" s="27">
        <f>_xlfn.NUMBERVALUE(advaltech_IS!AH12)</f>
        <v/>
      </c>
      <c r="AH2" s="27">
        <f>_xlfn.NUMBERVALUE(advaltech_IS!AI12)</f>
        <v/>
      </c>
      <c r="AI2" s="27">
        <f>_xlfn.NUMBERVALUE(advaltech_IS!AJ12)</f>
        <v/>
      </c>
      <c r="AJ2" s="27">
        <f>_xlfn.NUMBERVALUE(advaltech_IS!AK12)</f>
        <v/>
      </c>
      <c r="AK2" s="27">
        <f>_xlfn.NUMBERVALUE(advaltech_IS!AL12)</f>
        <v/>
      </c>
      <c r="AL2" s="27">
        <f>_xlfn.NUMBERVALUE(advaltech_IS!AM12)</f>
        <v/>
      </c>
      <c r="AM2" s="27">
        <f>_xlfn.NUMBERVALUE(advaltech_IS!AN12)</f>
        <v/>
      </c>
      <c r="AN2" s="27">
        <f>_xlfn.NUMBERVALUE(advaltech_IS!AO12)</f>
        <v/>
      </c>
      <c r="AO2" s="27">
        <f>_xlfn.NUMBERVALUE(advaltech_IS!AP12)</f>
        <v/>
      </c>
      <c r="AP2" s="27">
        <f>_xlfn.NUMBERVALUE(advaltech_IS!AQ12)</f>
        <v/>
      </c>
    </row>
    <row r="3" ht="15" customHeight="1" s="73">
      <c r="A3" s="14" t="n"/>
      <c r="B3" s="14" t="inlineStr">
        <is>
          <t>% QoQ</t>
        </is>
      </c>
      <c r="C3" s="15" t="n"/>
      <c r="D3" s="15">
        <f>D2/C2-1</f>
        <v/>
      </c>
      <c r="E3" s="15">
        <f>E2/D2-1</f>
        <v/>
      </c>
      <c r="F3" s="15">
        <f>F2/E2-1</f>
        <v/>
      </c>
      <c r="G3" s="15">
        <f>G2/F2-1</f>
        <v/>
      </c>
      <c r="H3" s="15">
        <f>H2/G2-1</f>
        <v/>
      </c>
      <c r="I3" s="15">
        <f>I2/H2-1</f>
        <v/>
      </c>
      <c r="J3" s="15">
        <f>J2/I2-1</f>
        <v/>
      </c>
      <c r="K3" s="15">
        <f>K2/J2-1</f>
        <v/>
      </c>
      <c r="L3" s="15">
        <f>L2/K2-1</f>
        <v/>
      </c>
      <c r="M3" s="15">
        <f>M2/L2-1</f>
        <v/>
      </c>
      <c r="N3" s="15">
        <f>N2/M2-1</f>
        <v/>
      </c>
      <c r="O3" s="59">
        <f>O2/N2-1</f>
        <v/>
      </c>
      <c r="P3" s="59">
        <f>P2/O2-1</f>
        <v/>
      </c>
      <c r="Q3" s="59">
        <f>Q2/P2-1</f>
        <v/>
      </c>
      <c r="R3" s="59">
        <f>R2/Q2-1</f>
        <v/>
      </c>
      <c r="S3" s="59">
        <f>S2/R2-1</f>
        <v/>
      </c>
      <c r="T3" s="59">
        <f>T2/S2-1</f>
        <v/>
      </c>
      <c r="U3" s="59">
        <f>U2/T2-1</f>
        <v/>
      </c>
      <c r="V3" s="59">
        <f>V2/U2-1</f>
        <v/>
      </c>
      <c r="W3" s="59">
        <f>W2/U2-1</f>
        <v/>
      </c>
      <c r="X3" s="59">
        <f>X2/U2-1</f>
        <v/>
      </c>
      <c r="Y3" s="59">
        <f>Y2/U2-1</f>
        <v/>
      </c>
      <c r="Z3" s="59">
        <f>Z2/U2-1</f>
        <v/>
      </c>
      <c r="AA3" s="59">
        <f>AA2/U2-1</f>
        <v/>
      </c>
      <c r="AB3" s="59">
        <f>AB2/U2-1</f>
        <v/>
      </c>
      <c r="AC3" s="59">
        <f>AC2/U2-1</f>
        <v/>
      </c>
      <c r="AD3" s="59">
        <f>AD2/U2-1</f>
        <v/>
      </c>
      <c r="AE3" s="59">
        <f>AE2/U2-1</f>
        <v/>
      </c>
      <c r="AF3" s="59">
        <f>AF2/U2-1</f>
        <v/>
      </c>
      <c r="AG3" s="59">
        <f>AG2/U2-1</f>
        <v/>
      </c>
      <c r="AH3" s="59">
        <f>AH2/U2-1</f>
        <v/>
      </c>
      <c r="AI3" s="59">
        <f>AI2/U2-1</f>
        <v/>
      </c>
      <c r="AJ3" s="59">
        <f>AJ2/U2-1</f>
        <v/>
      </c>
      <c r="AK3" s="59">
        <f>AK2/U2-1</f>
        <v/>
      </c>
      <c r="AL3" s="59">
        <f>AL2/U2-1</f>
        <v/>
      </c>
      <c r="AM3" s="59">
        <f>AM2/U2-1</f>
        <v/>
      </c>
      <c r="AN3" s="59">
        <f>AN2/U2-1</f>
        <v/>
      </c>
      <c r="AO3" s="59">
        <f>AO2/U2-1</f>
        <v/>
      </c>
      <c r="AP3" s="59">
        <f>AP2/U2-1</f>
        <v/>
      </c>
    </row>
    <row r="4" ht="15" customHeight="1" s="73">
      <c r="A4" s="14" t="n"/>
      <c r="B4" s="14" t="inlineStr">
        <is>
          <t>% YoY</t>
        </is>
      </c>
      <c r="C4" s="15" t="n"/>
      <c r="D4" s="15" t="n"/>
      <c r="E4" s="15" t="n"/>
      <c r="F4" s="15" t="n"/>
      <c r="G4" s="15">
        <f>G2/C2-1</f>
        <v/>
      </c>
      <c r="H4" s="15">
        <f>H2/D2-1</f>
        <v/>
      </c>
      <c r="I4" s="15">
        <f>I2/E2-1</f>
        <v/>
      </c>
      <c r="J4" s="15">
        <f>J2/F2-1</f>
        <v/>
      </c>
      <c r="K4" s="15">
        <f>K2/G2-1</f>
        <v/>
      </c>
      <c r="L4" s="15">
        <f>L2/H2-1</f>
        <v/>
      </c>
      <c r="M4" s="15">
        <f>M2/I2-1</f>
        <v/>
      </c>
      <c r="N4" s="15">
        <f>N2/J2-1</f>
        <v/>
      </c>
      <c r="O4" s="59">
        <f>O2/K2-1</f>
        <v/>
      </c>
      <c r="P4" s="59">
        <f>P2/L2-1</f>
        <v/>
      </c>
      <c r="Q4" s="59">
        <f>Q2/M2-1</f>
        <v/>
      </c>
      <c r="R4" s="59">
        <f>R2/N2-1</f>
        <v/>
      </c>
      <c r="S4" s="59">
        <f>S2/O2-1</f>
        <v/>
      </c>
      <c r="T4" s="59">
        <f>T2/P2-1</f>
        <v/>
      </c>
      <c r="U4" s="59">
        <f>U2/Q2-1</f>
        <v/>
      </c>
      <c r="V4" s="59">
        <f>V2/R2-1</f>
        <v/>
      </c>
      <c r="W4" s="59">
        <f>W2/R2-1</f>
        <v/>
      </c>
      <c r="X4" s="59">
        <f>X2/R2-1</f>
        <v/>
      </c>
      <c r="Y4" s="59">
        <f>Y2/R2-1</f>
        <v/>
      </c>
      <c r="Z4" s="59">
        <f>Z2/R2-1</f>
        <v/>
      </c>
      <c r="AA4" s="59">
        <f>AA2/R2-1</f>
        <v/>
      </c>
      <c r="AB4" s="59">
        <f>AB2/R2-1</f>
        <v/>
      </c>
      <c r="AC4" s="59">
        <f>AC2/R2-1</f>
        <v/>
      </c>
      <c r="AD4" s="59">
        <f>AD2/R2-1</f>
        <v/>
      </c>
      <c r="AE4" s="59">
        <f>AE2/R2-1</f>
        <v/>
      </c>
      <c r="AF4" s="59">
        <f>AF2/R2-1</f>
        <v/>
      </c>
      <c r="AG4" s="59">
        <f>AG2/R2-1</f>
        <v/>
      </c>
      <c r="AH4" s="59">
        <f>AH2/R2-1</f>
        <v/>
      </c>
      <c r="AI4" s="59">
        <f>AI2/R2-1</f>
        <v/>
      </c>
      <c r="AJ4" s="59">
        <f>AJ2/R2-1</f>
        <v/>
      </c>
      <c r="AK4" s="59">
        <f>AK2/R2-1</f>
        <v/>
      </c>
      <c r="AL4" s="59">
        <f>AL2/R2-1</f>
        <v/>
      </c>
      <c r="AM4" s="59">
        <f>AM2/R2-1</f>
        <v/>
      </c>
      <c r="AN4" s="59">
        <f>AN2/R2-1</f>
        <v/>
      </c>
      <c r="AO4" s="59">
        <f>AO2/R2-1</f>
        <v/>
      </c>
      <c r="AP4" s="59">
        <f>AP2/R2-1</f>
        <v/>
      </c>
    </row>
    <row r="5"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  <c r="Z5" s="60" t="n"/>
      <c r="AA5" s="60" t="n"/>
      <c r="AB5" s="60" t="n"/>
      <c r="AC5" s="60" t="n"/>
      <c r="AD5" s="60" t="n"/>
      <c r="AE5" s="60" t="n"/>
      <c r="AF5" s="60" t="n"/>
      <c r="AG5" s="60" t="n"/>
      <c r="AH5" s="60" t="n"/>
      <c r="AI5" s="60" t="n"/>
      <c r="AJ5" s="60" t="n"/>
      <c r="AK5" s="60" t="n"/>
      <c r="AL5" s="60" t="n"/>
      <c r="AM5" s="60" t="n"/>
      <c r="AN5" s="60" t="n"/>
      <c r="AO5" s="60" t="n"/>
      <c r="AP5" s="60" t="n"/>
    </row>
    <row r="6" ht="15" customHeight="1" s="73">
      <c r="A6" s="6" t="inlineStr">
        <is>
          <t>Gross Income</t>
        </is>
      </c>
      <c r="C6" s="35">
        <f>_xlfn.NUMBERVALUE(advaltech_IS!D16)</f>
        <v/>
      </c>
      <c r="D6" s="35">
        <f>_xlfn.NUMBERVALUE(advaltech_IS!E16)</f>
        <v/>
      </c>
      <c r="E6" s="35">
        <f>_xlfn.NUMBERVALUE(advaltech_IS!F16)</f>
        <v/>
      </c>
      <c r="F6" s="35">
        <f>_xlfn.NUMBERVALUE(advaltech_IS!G16)</f>
        <v/>
      </c>
      <c r="G6" s="35">
        <f>_xlfn.NUMBERVALUE(advaltech_IS!H16)</f>
        <v/>
      </c>
      <c r="H6" s="35">
        <f>_xlfn.NUMBERVALUE(advaltech_IS!I16)</f>
        <v/>
      </c>
      <c r="I6" s="35">
        <f>_xlfn.NUMBERVALUE(advaltech_IS!J16)</f>
        <v/>
      </c>
      <c r="J6" s="35">
        <f>_xlfn.NUMBERVALUE(advaltech_IS!K16)</f>
        <v/>
      </c>
      <c r="K6" s="35">
        <f>_xlfn.NUMBERVALUE(advaltech_IS!L16)</f>
        <v/>
      </c>
      <c r="L6" s="35">
        <f>_xlfn.NUMBERVALUE(advaltech_IS!M16)</f>
        <v/>
      </c>
      <c r="M6" s="35">
        <f>_xlfn.NUMBERVALUE(advaltech_IS!N16)</f>
        <v/>
      </c>
      <c r="N6" s="35">
        <f>_xlfn.NUMBERVALUE(advaltech_IS!O16)</f>
        <v/>
      </c>
      <c r="O6" s="61">
        <f>_xlfn.NUMBERVALUE(advaltech_IS!P16)</f>
        <v/>
      </c>
      <c r="P6" s="61">
        <f>_xlfn.NUMBERVALUE(advaltech_IS!Q16)</f>
        <v/>
      </c>
      <c r="Q6" s="61">
        <f>_xlfn.NUMBERVALUE(advaltech_IS!R16)</f>
        <v/>
      </c>
      <c r="R6" s="61">
        <f>_xlfn.NUMBERVALUE(advaltech_IS!S16)</f>
        <v/>
      </c>
      <c r="S6" s="61">
        <f>_xlfn.NUMBERVALUE(advaltech_IS!T16)</f>
        <v/>
      </c>
      <c r="T6" s="61">
        <f>_xlfn.NUMBERVALUE(advaltech_IS!U16)</f>
        <v/>
      </c>
      <c r="U6" s="61">
        <f>_xlfn.NUMBERVALUE(advaltech_IS!V16)</f>
        <v/>
      </c>
      <c r="V6" s="61">
        <f>_xlfn.NUMBERVALUE(advaltech_IS!W16)</f>
        <v/>
      </c>
      <c r="W6" s="61">
        <f>_xlfn.NUMBERVALUE(advaltech_IS!W16)</f>
        <v/>
      </c>
      <c r="X6" s="61">
        <f>_xlfn.NUMBERVALUE(advaltech_IS!X16)</f>
        <v/>
      </c>
      <c r="Y6" s="61">
        <f>_xlfn.NUMBERVALUE(advaltech_IS!Y16)</f>
        <v/>
      </c>
      <c r="Z6" s="61">
        <f>_xlfn.NUMBERVALUE(advaltech_IS!Z16)</f>
        <v/>
      </c>
      <c r="AA6" s="61">
        <f>_xlfn.NUMBERVALUE(advaltech_IS!AA16)</f>
        <v/>
      </c>
      <c r="AB6" s="61">
        <f>_xlfn.NUMBERVALUE(advaltech_IS!AB16)</f>
        <v/>
      </c>
      <c r="AC6" s="61">
        <f>_xlfn.NUMBERVALUE(advaltech_IS!AC16)</f>
        <v/>
      </c>
      <c r="AD6" s="61">
        <f>_xlfn.NUMBERVALUE(advaltech_IS!AD16)</f>
        <v/>
      </c>
      <c r="AE6" s="61">
        <f>_xlfn.NUMBERVALUE(advaltech_IS!AE16)</f>
        <v/>
      </c>
      <c r="AF6" s="61">
        <f>_xlfn.NUMBERVALUE(advaltech_IS!AF16)</f>
        <v/>
      </c>
      <c r="AG6" s="61">
        <f>_xlfn.NUMBERVALUE(advaltech_IS!AG16)</f>
        <v/>
      </c>
      <c r="AH6" s="61">
        <f>_xlfn.NUMBERVALUE(advaltech_IS!AH16)</f>
        <v/>
      </c>
      <c r="AI6" s="61">
        <f>_xlfn.NUMBERVALUE(advaltech_IS!AI16)</f>
        <v/>
      </c>
      <c r="AJ6" s="61">
        <f>_xlfn.NUMBERVALUE(advaltech_IS!AJ16)</f>
        <v/>
      </c>
      <c r="AK6" s="61">
        <f>_xlfn.NUMBERVALUE(advaltech_IS!AK16)</f>
        <v/>
      </c>
      <c r="AL6" s="61">
        <f>_xlfn.NUMBERVALUE(advaltech_IS!AL16)</f>
        <v/>
      </c>
      <c r="AM6" s="61">
        <f>_xlfn.NUMBERVALUE(advaltech_IS!AM16)</f>
        <v/>
      </c>
      <c r="AN6" s="61">
        <f>_xlfn.NUMBERVALUE(advaltech_IS!AN16)</f>
        <v/>
      </c>
      <c r="AO6" s="61">
        <f>_xlfn.NUMBERVALUE(advaltech_IS!AO16)</f>
        <v/>
      </c>
      <c r="AP6" s="61">
        <f>_xlfn.NUMBERVALUE(advaltech_IS!AP16)</f>
        <v/>
      </c>
    </row>
    <row r="7" ht="15" customHeight="1" s="73">
      <c r="A7" s="14" t="n"/>
      <c r="B7" s="14" t="inlineStr">
        <is>
          <t>% Margin</t>
        </is>
      </c>
      <c r="C7" s="15">
        <f>C6/C2</f>
        <v/>
      </c>
      <c r="D7" s="15">
        <f>D6/D2</f>
        <v/>
      </c>
      <c r="E7" s="15">
        <f>E6/E2</f>
        <v/>
      </c>
      <c r="F7" s="15">
        <f>F6/F2</f>
        <v/>
      </c>
      <c r="G7" s="15">
        <f>G6/G2</f>
        <v/>
      </c>
      <c r="H7" s="15">
        <f>H6/H2</f>
        <v/>
      </c>
      <c r="I7" s="15">
        <f>I6/I2</f>
        <v/>
      </c>
      <c r="J7" s="15">
        <f>J6/J2</f>
        <v/>
      </c>
      <c r="K7" s="15">
        <f>K6/K2</f>
        <v/>
      </c>
      <c r="L7" s="15">
        <f>L6/L2</f>
        <v/>
      </c>
      <c r="M7" s="15">
        <f>M6/M2</f>
        <v/>
      </c>
      <c r="N7" s="15">
        <f>N6/N2</f>
        <v/>
      </c>
      <c r="O7" s="59">
        <f>O6/O2</f>
        <v/>
      </c>
      <c r="P7" s="59">
        <f>P6/P2</f>
        <v/>
      </c>
      <c r="Q7" s="59">
        <f>Q6/Q2</f>
        <v/>
      </c>
      <c r="R7" s="59">
        <f>R6/R2</f>
        <v/>
      </c>
      <c r="S7" s="59">
        <f>S6/S2</f>
        <v/>
      </c>
      <c r="T7" s="59">
        <f>T6/T2</f>
        <v/>
      </c>
      <c r="U7" s="59">
        <f>U6/U2</f>
        <v/>
      </c>
      <c r="V7" s="59">
        <f>V6/V2</f>
        <v/>
      </c>
      <c r="W7" s="59">
        <f>W6/W2</f>
        <v/>
      </c>
      <c r="X7" s="59">
        <f>X6/X2</f>
        <v/>
      </c>
      <c r="Y7" s="59">
        <f>Y6/Y2</f>
        <v/>
      </c>
      <c r="Z7" s="59">
        <f>Z6/Z2</f>
        <v/>
      </c>
      <c r="AA7" s="59">
        <f>AA6/AA2</f>
        <v/>
      </c>
      <c r="AB7" s="59">
        <f>AB6/AB2</f>
        <v/>
      </c>
      <c r="AC7" s="59">
        <f>AC6/AC2</f>
        <v/>
      </c>
      <c r="AD7" s="59">
        <f>AD6/AD2</f>
        <v/>
      </c>
      <c r="AE7" s="59">
        <f>AE6/AE2</f>
        <v/>
      </c>
      <c r="AF7" s="59">
        <f>AF6/AF2</f>
        <v/>
      </c>
      <c r="AG7" s="59">
        <f>AG6/AG2</f>
        <v/>
      </c>
      <c r="AH7" s="59">
        <f>AH6/AH2</f>
        <v/>
      </c>
      <c r="AI7" s="59">
        <f>AI6/AI2</f>
        <v/>
      </c>
      <c r="AJ7" s="59">
        <f>AJ6/AJ2</f>
        <v/>
      </c>
      <c r="AK7" s="59">
        <f>AK6/AK2</f>
        <v/>
      </c>
      <c r="AL7" s="59">
        <f>AL6/AL2</f>
        <v/>
      </c>
      <c r="AM7" s="59">
        <f>AM6/AM2</f>
        <v/>
      </c>
      <c r="AN7" s="59">
        <f>AN6/AN2</f>
        <v/>
      </c>
      <c r="AO7" s="59">
        <f>AO6/AO2</f>
        <v/>
      </c>
      <c r="AP7" s="59">
        <f>AP6/AP2</f>
        <v/>
      </c>
    </row>
    <row r="8" ht="15" customHeight="1" s="73">
      <c r="A8" s="14" t="n"/>
      <c r="B8" s="14" t="inlineStr">
        <is>
          <t>% Margin 4 per MA</t>
        </is>
      </c>
      <c r="C8" s="15">
        <f>AVERAGE(C7:C7)</f>
        <v/>
      </c>
      <c r="D8" s="15">
        <f>AVERAGE(C7:D7)</f>
        <v/>
      </c>
      <c r="E8" s="15">
        <f>AVERAGE(C7:E7)</f>
        <v/>
      </c>
      <c r="F8" s="15">
        <f>AVERAGE(C7:F7)</f>
        <v/>
      </c>
      <c r="G8" s="15">
        <f>AVERAGE(D7:G7)</f>
        <v/>
      </c>
      <c r="H8" s="15">
        <f>AVERAGE(E7:H7)</f>
        <v/>
      </c>
      <c r="I8" s="15">
        <f>AVERAGE(F7:I7)</f>
        <v/>
      </c>
      <c r="J8" s="15">
        <f>AVERAGE(G7:J7)</f>
        <v/>
      </c>
      <c r="K8" s="15">
        <f>AVERAGE(H7:K7)</f>
        <v/>
      </c>
      <c r="L8" s="15">
        <f>AVERAGE(I7:L7)</f>
        <v/>
      </c>
      <c r="M8" s="15">
        <f>AVERAGE(J7:M7)</f>
        <v/>
      </c>
      <c r="N8" s="15">
        <f>AVERAGE(K7:N7)</f>
        <v/>
      </c>
      <c r="O8" s="59">
        <f>AVERAGE(L7:O7)</f>
        <v/>
      </c>
      <c r="P8" s="59">
        <f>AVERAGE(M7:P7)</f>
        <v/>
      </c>
      <c r="Q8" s="59">
        <f>AVERAGE(N7:Q7)</f>
        <v/>
      </c>
      <c r="R8" s="59">
        <f>AVERAGE(O7:R7)</f>
        <v/>
      </c>
      <c r="S8" s="59">
        <f>AVERAGE(P7:S7)</f>
        <v/>
      </c>
      <c r="T8" s="59">
        <f>AVERAGE(Q7:T7)</f>
        <v/>
      </c>
      <c r="U8" s="59">
        <f>AVERAGE(R7:U7)</f>
        <v/>
      </c>
      <c r="V8" s="59">
        <f>AVERAGE(S7:V7)</f>
        <v/>
      </c>
      <c r="W8" s="59">
        <f>AVERAGE(S7:W7)</f>
        <v/>
      </c>
      <c r="X8" s="59">
        <f>AVERAGE(S7:X7)</f>
        <v/>
      </c>
      <c r="Y8" s="59">
        <f>AVERAGE(S7:Y7)</f>
        <v/>
      </c>
      <c r="Z8" s="59">
        <f>AVERAGE(S7:Z7)</f>
        <v/>
      </c>
      <c r="AA8" s="59">
        <f>AVERAGE(S7:AA7)</f>
        <v/>
      </c>
      <c r="AB8" s="59">
        <f>AVERAGE(S7:AB7)</f>
        <v/>
      </c>
      <c r="AC8" s="59">
        <f>AVERAGE(S7:AC7)</f>
        <v/>
      </c>
      <c r="AD8" s="59">
        <f>AVERAGE(S7:AD7)</f>
        <v/>
      </c>
      <c r="AE8" s="59">
        <f>AVERAGE(S7:AE7)</f>
        <v/>
      </c>
      <c r="AF8" s="59">
        <f>AVERAGE(S7:AF7)</f>
        <v/>
      </c>
      <c r="AG8" s="59">
        <f>AVERAGE(S7:AG7)</f>
        <v/>
      </c>
      <c r="AH8" s="59">
        <f>AVERAGE(S7:AH7)</f>
        <v/>
      </c>
      <c r="AI8" s="59">
        <f>AVERAGE(S7:AI7)</f>
        <v/>
      </c>
      <c r="AJ8" s="59">
        <f>AVERAGE(S7:AJ7)</f>
        <v/>
      </c>
      <c r="AK8" s="59">
        <f>AVERAGE(S7:AK7)</f>
        <v/>
      </c>
      <c r="AL8" s="59">
        <f>AVERAGE(S7:AL7)</f>
        <v/>
      </c>
      <c r="AM8" s="59">
        <f>AVERAGE(S7:AM7)</f>
        <v/>
      </c>
      <c r="AN8" s="59">
        <f>AVERAGE(S7:AN7)</f>
        <v/>
      </c>
      <c r="AO8" s="59">
        <f>AVERAGE(S7:AO7)</f>
        <v/>
      </c>
      <c r="AP8" s="59">
        <f>AVERAGE(S7:AP7)</f>
        <v/>
      </c>
    </row>
    <row r="9"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</row>
    <row r="10" ht="15" customHeight="1" s="73">
      <c r="A10" s="6" t="inlineStr">
        <is>
          <t>Net Income</t>
        </is>
      </c>
      <c r="C10" s="35">
        <f>_xlfn.NUMBERVALUE(advaltech_IS!D32)</f>
        <v/>
      </c>
      <c r="D10" s="35">
        <f>_xlfn.NUMBERVALUE(advaltech_IS!E32)</f>
        <v/>
      </c>
      <c r="E10" s="35">
        <f>_xlfn.NUMBERVALUE(advaltech_IS!F32)</f>
        <v/>
      </c>
      <c r="F10" s="35">
        <f>_xlfn.NUMBERVALUE(advaltech_IS!G32)</f>
        <v/>
      </c>
      <c r="G10" s="35">
        <f>_xlfn.NUMBERVALUE(advaltech_IS!H32)</f>
        <v/>
      </c>
      <c r="H10" s="35">
        <f>_xlfn.NUMBERVALUE(advaltech_IS!I32)</f>
        <v/>
      </c>
      <c r="I10" s="35">
        <f>_xlfn.NUMBERVALUE(advaltech_IS!J32)</f>
        <v/>
      </c>
      <c r="J10" s="35">
        <f>_xlfn.NUMBERVALUE(advaltech_IS!K32)</f>
        <v/>
      </c>
      <c r="K10" s="35">
        <f>_xlfn.NUMBERVALUE(advaltech_IS!L32)</f>
        <v/>
      </c>
      <c r="L10" s="35">
        <f>_xlfn.NUMBERVALUE(advaltech_IS!M32)</f>
        <v/>
      </c>
      <c r="M10" s="35">
        <f>_xlfn.NUMBERVALUE(advaltech_IS!N32)</f>
        <v/>
      </c>
      <c r="N10" s="35">
        <f>_xlfn.NUMBERVALUE(advaltech_IS!O32)</f>
        <v/>
      </c>
      <c r="O10" s="61">
        <f>_xlfn.NUMBERVALUE(advaltech_IS!P32)</f>
        <v/>
      </c>
      <c r="P10" s="61">
        <f>_xlfn.NUMBERVALUE(advaltech_IS!Q32)</f>
        <v/>
      </c>
      <c r="Q10" s="61">
        <f>_xlfn.NUMBERVALUE(advaltech_IS!R32)</f>
        <v/>
      </c>
      <c r="R10" s="61">
        <f>_xlfn.NUMBERVALUE(advaltech_IS!S32)</f>
        <v/>
      </c>
      <c r="S10" s="61">
        <f>_xlfn.NUMBERVALUE(advaltech_IS!T32)</f>
        <v/>
      </c>
      <c r="T10" s="61">
        <f>_xlfn.NUMBERVALUE(advaltech_IS!U32)</f>
        <v/>
      </c>
      <c r="U10" s="61">
        <f>_xlfn.NUMBERVALUE(advaltech_IS!V32)</f>
        <v/>
      </c>
      <c r="V10" s="61">
        <f>_xlfn.NUMBERVALUE(advaltech_IS!W32)</f>
        <v/>
      </c>
      <c r="W10" s="61">
        <f>_xlfn.NUMBERVALUE(advaltech_IS!W32)</f>
        <v/>
      </c>
      <c r="X10" s="61">
        <f>_xlfn.NUMBERVALUE(advaltech_IS!X32)</f>
        <v/>
      </c>
      <c r="Y10" s="61">
        <f>_xlfn.NUMBERVALUE(advaltech_IS!Y32)</f>
        <v/>
      </c>
      <c r="Z10" s="61">
        <f>_xlfn.NUMBERVALUE(advaltech_IS!Z32)</f>
        <v/>
      </c>
      <c r="AA10" s="61">
        <f>_xlfn.NUMBERVALUE(advaltech_IS!AA32)</f>
        <v/>
      </c>
      <c r="AB10" s="61">
        <f>_xlfn.NUMBERVALUE(advaltech_IS!AB32)</f>
        <v/>
      </c>
      <c r="AC10" s="61">
        <f>_xlfn.NUMBERVALUE(advaltech_IS!AC32)</f>
        <v/>
      </c>
      <c r="AD10" s="61">
        <f>_xlfn.NUMBERVALUE(advaltech_IS!AD33)</f>
        <v/>
      </c>
      <c r="AE10" s="61">
        <f>_xlfn.NUMBERVALUE(advaltech_IS!AE33)</f>
        <v/>
      </c>
      <c r="AF10" s="61">
        <f>_xlfn.NUMBERVALUE(advaltech_IS!AF33)</f>
        <v/>
      </c>
      <c r="AG10" s="61">
        <f>_xlfn.NUMBERVALUE(advaltech_IS!AG33)</f>
        <v/>
      </c>
      <c r="AH10" s="61">
        <f>_xlfn.NUMBERVALUE(advaltech_IS!AH33)</f>
        <v/>
      </c>
      <c r="AI10" s="61">
        <f>_xlfn.NUMBERVALUE(advaltech_IS!AI33)</f>
        <v/>
      </c>
      <c r="AJ10" s="61">
        <f>_xlfn.NUMBERVALUE(advaltech_IS!AJ33)</f>
        <v/>
      </c>
      <c r="AK10" s="61">
        <f>_xlfn.NUMBERVALUE(advaltech_IS!AK33)</f>
        <v/>
      </c>
      <c r="AL10" s="61">
        <f>_xlfn.NUMBERVALUE(advaltech_IS!AL33)</f>
        <v/>
      </c>
      <c r="AM10" s="61">
        <f>_xlfn.NUMBERVALUE(advaltech_IS!AM33)</f>
        <v/>
      </c>
      <c r="AN10" s="61">
        <f>_xlfn.NUMBERVALUE(advaltech_IS!AN33)</f>
        <v/>
      </c>
      <c r="AO10" s="61">
        <f>_xlfn.NUMBERVALUE(advaltech_IS!AO33)</f>
        <v/>
      </c>
      <c r="AP10" s="61">
        <f>_xlfn.NUMBERVALUE(advaltech_IS!AP33)</f>
        <v/>
      </c>
    </row>
    <row r="11" ht="15" customHeight="1" s="73">
      <c r="A11" s="14" t="n"/>
      <c r="B11" s="14" t="inlineStr">
        <is>
          <t>% Margin</t>
        </is>
      </c>
      <c r="C11" s="15">
        <f>C10/C2</f>
        <v/>
      </c>
      <c r="D11" s="15">
        <f>D10/D2</f>
        <v/>
      </c>
      <c r="E11" s="15">
        <f>E10/E2</f>
        <v/>
      </c>
      <c r="F11" s="15">
        <f>F10/F2</f>
        <v/>
      </c>
      <c r="G11" s="15">
        <f>G10/G2</f>
        <v/>
      </c>
      <c r="H11" s="15">
        <f>H10/H2</f>
        <v/>
      </c>
      <c r="I11" s="15">
        <f>I10/I2</f>
        <v/>
      </c>
      <c r="J11" s="15">
        <f>J10/J2</f>
        <v/>
      </c>
      <c r="K11" s="15">
        <f>K10/K2</f>
        <v/>
      </c>
      <c r="L11" s="15">
        <f>L10/L2</f>
        <v/>
      </c>
      <c r="M11" s="15">
        <f>M10/M2</f>
        <v/>
      </c>
      <c r="N11" s="15">
        <f>N10/N2</f>
        <v/>
      </c>
      <c r="O11" s="59">
        <f>O10/O2</f>
        <v/>
      </c>
      <c r="P11" s="59">
        <f>P10/P2</f>
        <v/>
      </c>
      <c r="Q11" s="59">
        <f>Q10/Q2</f>
        <v/>
      </c>
      <c r="R11" s="59">
        <f>R10/R2</f>
        <v/>
      </c>
      <c r="S11" s="59">
        <f>S10/S2</f>
        <v/>
      </c>
      <c r="T11" s="59">
        <f>T10/T2</f>
        <v/>
      </c>
      <c r="U11" s="59">
        <f>U10/U2</f>
        <v/>
      </c>
      <c r="V11" s="59">
        <f>V10/V2</f>
        <v/>
      </c>
      <c r="W11" s="59">
        <f>W10/W2</f>
        <v/>
      </c>
      <c r="X11" s="59">
        <f>X10/X2</f>
        <v/>
      </c>
      <c r="Y11" s="59">
        <f>Y10/Y2</f>
        <v/>
      </c>
      <c r="Z11" s="59">
        <f>Z10/Z2</f>
        <v/>
      </c>
      <c r="AA11" s="59">
        <f>AA10/AA2</f>
        <v/>
      </c>
      <c r="AB11" s="59">
        <f>AB10/AB2</f>
        <v/>
      </c>
      <c r="AC11" s="59">
        <f>AC10/AC2</f>
        <v/>
      </c>
      <c r="AD11" s="59">
        <f>AD10/AD2</f>
        <v/>
      </c>
      <c r="AE11" s="59">
        <f>AE10/AE2</f>
        <v/>
      </c>
      <c r="AF11" s="59">
        <f>AF10/AF2</f>
        <v/>
      </c>
      <c r="AG11" s="59">
        <f>AG10/AG2</f>
        <v/>
      </c>
      <c r="AH11" s="59">
        <f>AH10/AH2</f>
        <v/>
      </c>
      <c r="AI11" s="59">
        <f>AI10/AI2</f>
        <v/>
      </c>
      <c r="AJ11" s="59">
        <f>AJ10/AJ2</f>
        <v/>
      </c>
      <c r="AK11" s="59">
        <f>AK10/AK2</f>
        <v/>
      </c>
      <c r="AL11" s="59">
        <f>AL10/AL2</f>
        <v/>
      </c>
      <c r="AM11" s="59">
        <f>AM10/AM2</f>
        <v/>
      </c>
      <c r="AN11" s="59">
        <f>AN10/AN2</f>
        <v/>
      </c>
      <c r="AO11" s="59">
        <f>AO10/AO2</f>
        <v/>
      </c>
      <c r="AP11" s="59">
        <f>AP10/AP2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99"/>
  <sheetViews>
    <sheetView workbookViewId="0">
      <selection activeCell="K5" sqref="K5"/>
    </sheetView>
  </sheetViews>
  <sheetFormatPr baseColWidth="8" defaultColWidth="9.140625" defaultRowHeight="12.75"/>
  <cols>
    <col width="9.140625" customWidth="1" style="6" min="1" max="3"/>
    <col width="9.140625" customWidth="1" style="6" min="4" max="16384"/>
  </cols>
  <sheetData>
    <row r="1" ht="15" customHeight="1" s="73">
      <c r="A1" s="6" t="n">
        <v>1</v>
      </c>
      <c r="B1" s="6" t="inlineStr">
        <is>
          <t>Positive earnings</t>
        </is>
      </c>
      <c r="J1" s="20" t="n"/>
      <c r="K1" s="21" t="n">
        <v>1</v>
      </c>
      <c r="L1" t="inlineStr">
        <is>
          <t>AUTO: NI = -91 (negative/zero)</t>
        </is>
      </c>
      <c r="M1" s="22" t="n"/>
    </row>
    <row r="2" ht="15" customHeight="1" s="73">
      <c r="A2" s="6">
        <f>A1+1</f>
        <v/>
      </c>
      <c r="B2" s="6" t="inlineStr">
        <is>
          <t>Positive CF</t>
        </is>
      </c>
      <c r="J2" s="20" t="n"/>
      <c r="K2" s="21" t="n">
        <v>1</v>
      </c>
      <c r="L2" t="inlineStr">
        <is>
          <t>MANUAL: OCF data not available in standard export</t>
        </is>
      </c>
    </row>
    <row r="3" ht="15" customHeight="1" s="73">
      <c r="A3" s="6">
        <f>A2+1</f>
        <v/>
      </c>
      <c r="B3" s="6" t="inlineStr">
        <is>
          <t>Increasing ROA</t>
        </is>
      </c>
      <c r="J3" s="20" t="n"/>
      <c r="K3" s="69" t="n">
        <v>0</v>
      </c>
      <c r="L3" t="inlineStr">
        <is>
          <t>AUTO: ROA: 0.54% -&gt; 1.92% (↑)</t>
        </is>
      </c>
    </row>
    <row r="4" ht="15" customHeight="1" s="73">
      <c r="A4" s="6">
        <f>A3+1</f>
        <v/>
      </c>
      <c r="B4" s="6" t="inlineStr">
        <is>
          <t>Increasing CFO</t>
        </is>
      </c>
      <c r="J4" s="20" t="n"/>
      <c r="K4" s="21" t="n">
        <v>0</v>
      </c>
      <c r="L4" t="inlineStr">
        <is>
          <t>MANUAL: OCF data not available for accruals check</t>
        </is>
      </c>
    </row>
    <row r="5" ht="15" customHeight="1" s="73">
      <c r="A5" s="6">
        <f>A4+1</f>
        <v/>
      </c>
      <c r="B5" s="6" t="inlineStr">
        <is>
          <t>Decreasing long term debt as a proportion of total assets</t>
        </is>
      </c>
      <c r="J5" s="20" t="n"/>
      <c r="K5" s="21" t="n">
        <v>1</v>
      </c>
      <c r="L5" t="inlineStr">
        <is>
          <t>AUTO: D/A: 1.56% -&gt; 1.39% (↓)</t>
        </is>
      </c>
    </row>
    <row r="6" ht="15" customHeight="1" s="73">
      <c r="A6" s="6">
        <f>A5+1</f>
        <v/>
      </c>
      <c r="B6" s="6" t="inlineStr">
        <is>
          <t>increasing current ratio</t>
        </is>
      </c>
      <c r="J6" s="20" t="n"/>
      <c r="K6" s="21" t="n">
        <v>1</v>
      </c>
      <c r="L6" t="inlineStr">
        <is>
          <t>AUTO: CR: 7.11x -&gt; 6.55x (↓)</t>
        </is>
      </c>
    </row>
    <row r="7" ht="15" customHeight="1" s="73">
      <c r="A7" s="6">
        <f>A6+1</f>
        <v/>
      </c>
      <c r="B7" s="6" t="inlineStr">
        <is>
          <t>decreasing or stable numbers of standing shares</t>
        </is>
      </c>
      <c r="J7" s="20" t="n"/>
      <c r="K7" s="21" t="n">
        <v>1</v>
      </c>
      <c r="L7" t="inlineStr">
        <is>
          <t>AUTO: Shares: 7 -&gt; 7 (stable/↓)</t>
        </is>
      </c>
    </row>
    <row r="8" ht="15" customHeight="1" s="73">
      <c r="A8" s="6">
        <f>A7+1</f>
        <v/>
      </c>
      <c r="B8" s="6" t="inlineStr">
        <is>
          <t>increasing assets turnover (increasing sales as a proportion of total assets)</t>
        </is>
      </c>
      <c r="J8" s="20" t="n"/>
      <c r="K8" s="21" t="n">
        <v>0</v>
      </c>
      <c r="L8" t="inlineStr">
        <is>
          <t>AUTO: AT: 0.68x -&gt; 0.60x (↓)</t>
        </is>
      </c>
    </row>
    <row r="9" ht="15" customHeight="1" s="73">
      <c r="A9" s="6">
        <f>A8+1</f>
        <v/>
      </c>
      <c r="B9" s="6" t="inlineStr">
        <is>
          <t>increasing gross margin</t>
        </is>
      </c>
      <c r="J9" s="20" t="n"/>
      <c r="K9" s="21" t="n">
        <v>1</v>
      </c>
      <c r="L9" t="inlineStr">
        <is>
          <t>AUTO: GM: 39.6% -&gt; 41.0% (↑)</t>
        </is>
      </c>
    </row>
    <row r="10" ht="15" customHeight="1" s="73">
      <c r="A10" s="17" t="inlineStr">
        <is>
          <t>Piotrosky score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28">
        <f>SUM(K1:K9)</f>
        <v/>
      </c>
      <c r="L10">
        <f>SUM(L1:L9)</f>
        <v/>
      </c>
      <c r="M10">
        <f>SUM(M1:M9)</f>
        <v/>
      </c>
      <c r="N10">
        <f>SUM(N1:N9)</f>
        <v/>
      </c>
      <c r="O10">
        <f>SUM(O1:O9)</f>
        <v/>
      </c>
      <c r="P10">
        <f>SUM(P1:P9)</f>
        <v/>
      </c>
      <c r="Q10">
        <f>SUM(Q1:Q9)</f>
        <v/>
      </c>
      <c r="R10">
        <f>SUM(R1:R9)</f>
        <v/>
      </c>
      <c r="S10">
        <f>SUM(S1:S9)</f>
        <v/>
      </c>
      <c r="T10">
        <f>SUM(T1:T9)</f>
        <v/>
      </c>
      <c r="U10">
        <f>SUM(U1:U9)</f>
        <v/>
      </c>
      <c r="V10">
        <f>SUM(V1:V9)</f>
        <v/>
      </c>
      <c r="W10">
        <f>SUM(W1:W9)</f>
        <v/>
      </c>
      <c r="X10">
        <f>SUM(X1:X9)</f>
        <v/>
      </c>
      <c r="Y10">
        <f>SUM(Y1:Y9)</f>
        <v/>
      </c>
      <c r="Z10">
        <f>SUM(Z1:Z9)</f>
        <v/>
      </c>
      <c r="AA10">
        <f>SUM(AA1:AA9)</f>
        <v/>
      </c>
      <c r="AB10">
        <f>SUM(AB1:AB9)</f>
        <v/>
      </c>
      <c r="AC10">
        <f>SUM(AC1:AC9)</f>
        <v/>
      </c>
      <c r="AD10">
        <f>SUM(AD1:AD9)</f>
        <v/>
      </c>
      <c r="AE10">
        <f>SUM(AE1:AE9)</f>
        <v/>
      </c>
      <c r="AF10">
        <f>SUM(AF1:AF9)</f>
        <v/>
      </c>
      <c r="AG10">
        <f>SUM(AG1:AG9)</f>
        <v/>
      </c>
      <c r="AH10">
        <f>SUM(AH1:AH9)</f>
        <v/>
      </c>
      <c r="AI10">
        <f>SUM(AI1:AI9)</f>
        <v/>
      </c>
      <c r="AJ10">
        <f>SUM(AJ1:AJ9)</f>
        <v/>
      </c>
      <c r="AK10">
        <f>SUM(AK1:AK9)</f>
        <v/>
      </c>
      <c r="AL10">
        <f>SUM(AL1:AL9)</f>
        <v/>
      </c>
      <c r="AM10">
        <f>SUM(AM1:AM9)</f>
        <v/>
      </c>
      <c r="AN10">
        <f>SUM(AN1:AN9)</f>
        <v/>
      </c>
      <c r="AO10">
        <f>SUM(AO1:AO9)</f>
        <v/>
      </c>
      <c r="AP10">
        <f>SUM(AP1:AP9)</f>
        <v/>
      </c>
      <c r="AQ10">
        <f>SUM(AQ1:AQ9)</f>
        <v/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99"/>
  <sheetViews>
    <sheetView tabSelected="1" workbookViewId="0">
      <selection activeCell="H22" sqref="H22"/>
    </sheetView>
  </sheetViews>
  <sheetFormatPr baseColWidth="8" defaultRowHeight="15"/>
  <cols>
    <col width="9.7109375" customWidth="1" style="73" min="1" max="5"/>
  </cols>
  <sheetData>
    <row r="1">
      <c r="A1" s="4" t="inlineStr">
        <is>
          <t>Core 9 Criteria</t>
        </is>
      </c>
    </row>
    <row r="2">
      <c r="A2" t="inlineStr">
        <is>
          <t>Not Majority Chinese</t>
        </is>
      </c>
      <c r="F2" s="19" t="n"/>
      <c r="G2" s="1" t="n"/>
      <c r="H2" s="56" t="n">
        <v>1</v>
      </c>
      <c r="I2" t="inlineStr">
        <is>
          <t>MANUAL: Check company domicile manually</t>
        </is>
      </c>
    </row>
    <row r="3">
      <c r="A3" t="inlineStr">
        <is>
          <t>Low Price-to-NACV (less than 67%)</t>
        </is>
      </c>
      <c r="F3" s="19" t="n"/>
      <c r="G3" s="1" t="n"/>
      <c r="H3" s="56" t="n">
        <v>1</v>
      </c>
      <c r="I3" t="inlineStr">
        <is>
          <t>AUTO: P/NCAV = 0.97 (threshold: 0.67)</t>
        </is>
      </c>
    </row>
    <row r="4">
      <c r="A4" t="inlineStr">
        <is>
          <t>Low Debt-to-Equity</t>
        </is>
      </c>
      <c r="F4" s="19" t="n"/>
      <c r="G4" s="1" t="n"/>
      <c r="H4" s="38" t="n">
        <v>1</v>
      </c>
      <c r="I4" t="inlineStr">
        <is>
          <t>AUTO: D/E = 0.02 (threshold: 0.5)</t>
        </is>
      </c>
    </row>
    <row r="5">
      <c r="A5" t="inlineStr">
        <is>
          <t>Adequate Past Earnings or Catalyst (5%+ NI Margin)</t>
        </is>
      </c>
      <c r="F5" s="19" t="n"/>
      <c r="G5" s="1" t="n"/>
      <c r="H5" s="38" t="n">
        <v>1</v>
      </c>
      <c r="I5" t="inlineStr">
        <is>
          <t>AUTO: Max NI margin = 11.7% (threshold: 5%)</t>
        </is>
      </c>
    </row>
    <row r="6">
      <c r="A6" t="inlineStr">
        <is>
          <t>Past Price Above NCAV</t>
        </is>
      </c>
      <c r="F6" s="19" t="n"/>
      <c r="G6" s="1" t="n"/>
      <c r="H6" s="38" t="n">
        <v>1</v>
      </c>
      <c r="I6" t="inlineStr">
        <is>
          <t>MANUAL: Requires historical price data</t>
        </is>
      </c>
    </row>
    <row r="7">
      <c r="A7" t="inlineStr">
        <is>
          <t>Existing Operations or Liquidation</t>
        </is>
      </c>
      <c r="F7" s="19" t="n"/>
      <c r="G7" s="1" t="n"/>
      <c r="H7" s="38" t="n">
        <v>1</v>
      </c>
      <c r="I7" t="inlineStr">
        <is>
          <t>MANUAL: Qualitative assessment required</t>
        </is>
      </c>
    </row>
    <row r="8">
      <c r="A8" t="inlineStr">
        <is>
          <t>Not Selling Shares</t>
        </is>
      </c>
      <c r="F8" s="19" t="n"/>
      <c r="G8" s="1" t="n"/>
      <c r="H8" s="38" t="n">
        <v>1</v>
      </c>
      <c r="I8" t="inlineStr">
        <is>
          <t>AUTO: Shares: 7 -&gt; 7</t>
        </is>
      </c>
    </row>
    <row r="9">
      <c r="A9" t="inlineStr">
        <is>
          <t>Market Cap &lt;$50mm</t>
        </is>
      </c>
      <c r="F9" s="19" t="n"/>
      <c r="G9" s="1" t="n"/>
      <c r="H9" s="38" t="n">
        <v>1</v>
      </c>
      <c r="I9" t="inlineStr">
        <is>
          <t>MANUAL: Market cap = 10,650 (currency/unit check needed)</t>
        </is>
      </c>
    </row>
    <row r="10">
      <c r="A10" t="inlineStr">
        <is>
          <t>Low NCAV Burn Rate</t>
        </is>
      </c>
      <c r="F10" s="19" t="n"/>
      <c r="G10" s="1" t="n"/>
      <c r="H10" s="38" t="n">
        <v>1</v>
      </c>
      <c r="I10" t="inlineStr">
        <is>
          <t>AUTO: Calculated NCAV YoY: -5.9%</t>
        </is>
      </c>
    </row>
    <row r="11">
      <c r="A11" s="2" t="inlineStr">
        <is>
          <t>Total</t>
        </is>
      </c>
      <c r="B11" s="2" t="n"/>
      <c r="C11" s="2" t="n"/>
      <c r="D11" s="2" t="n"/>
      <c r="E11" s="2" t="n"/>
      <c r="F11" s="2" t="n"/>
      <c r="G11" s="3" t="n"/>
      <c r="H11" s="39">
        <f>SUM(H2:H10)</f>
        <v/>
      </c>
      <c r="I11">
        <f>SUM(I2:I10)</f>
        <v/>
      </c>
      <c r="J11">
        <f>SUM(J2:J10)</f>
        <v/>
      </c>
      <c r="K11">
        <f>SUM(K2:K10)</f>
        <v/>
      </c>
      <c r="L11">
        <f>SUM(L2:L10)</f>
        <v/>
      </c>
      <c r="M11">
        <f>SUM(M2:M10)</f>
        <v/>
      </c>
      <c r="N11">
        <f>SUM(N2:N10)</f>
        <v/>
      </c>
      <c r="O11">
        <f>SUM(O2:O10)</f>
        <v/>
      </c>
      <c r="P11">
        <f>SUM(P2:P10)</f>
        <v/>
      </c>
      <c r="Q11">
        <f>SUM(Q2:Q10)</f>
        <v/>
      </c>
      <c r="R11">
        <f>SUM(R2:R10)</f>
        <v/>
      </c>
      <c r="S11">
        <f>SUM(S2:S10)</f>
        <v/>
      </c>
      <c r="T11">
        <f>SUM(T2:T10)</f>
        <v/>
      </c>
      <c r="U11">
        <f>SUM(U2:U10)</f>
        <v/>
      </c>
      <c r="V11">
        <f>SUM(V2:V10)</f>
        <v/>
      </c>
      <c r="W11">
        <f>SUM(W2:W10)</f>
        <v/>
      </c>
      <c r="X11">
        <f>SUM(X2:X10)</f>
        <v/>
      </c>
      <c r="Y11">
        <f>SUM(Y2:Y10)</f>
        <v/>
      </c>
      <c r="Z11">
        <f>SUM(Z2:Z10)</f>
        <v/>
      </c>
      <c r="AA11">
        <f>SUM(AA2:AA10)</f>
        <v/>
      </c>
      <c r="AB11">
        <f>SUM(AB2:AB10)</f>
        <v/>
      </c>
      <c r="AC11">
        <f>SUM(AC2:AC10)</f>
        <v/>
      </c>
      <c r="AD11">
        <f>SUM(AD2:AD10)</f>
        <v/>
      </c>
      <c r="AE11">
        <f>SUM(AE2:AE10)</f>
        <v/>
      </c>
      <c r="AF11">
        <f>SUM(AF2:AF10)</f>
        <v/>
      </c>
      <c r="AG11">
        <f>SUM(AG2:AG10)</f>
        <v/>
      </c>
      <c r="AH11">
        <f>SUM(AH2:AH10)</f>
        <v/>
      </c>
      <c r="AI11">
        <f>SUM(AI2:AI10)</f>
        <v/>
      </c>
      <c r="AJ11">
        <f>SUM(AJ2:AJ10)</f>
        <v/>
      </c>
      <c r="AK11">
        <f>SUM(AK2:AK10)</f>
        <v/>
      </c>
      <c r="AL11">
        <f>SUM(AL2:AL10)</f>
        <v/>
      </c>
      <c r="AM11">
        <f>SUM(AM2:AM10)</f>
        <v/>
      </c>
      <c r="AN11">
        <f>SUM(AN2:AN10)</f>
        <v/>
      </c>
      <c r="AO11">
        <f>SUM(AO2:AO10)</f>
        <v/>
      </c>
      <c r="AP11">
        <f>SUM(AP2:AP10)</f>
        <v/>
      </c>
      <c r="AQ11">
        <f>SUM(AQ2:AQ10)</f>
        <v/>
      </c>
    </row>
    <row r="12"/>
    <row r="13">
      <c r="A13" s="4" t="inlineStr">
        <is>
          <t>Ranking Criteria (out of 9)</t>
        </is>
      </c>
    </row>
    <row r="14">
      <c r="A14" t="inlineStr">
        <is>
          <t>Large Current Ratio (over 1.5x)</t>
        </is>
      </c>
      <c r="F14" s="19" t="n"/>
      <c r="G14" s="25" t="n"/>
      <c r="H14" s="38" t="n">
        <v>1</v>
      </c>
      <c r="I14" t="inlineStr">
        <is>
          <t>AUTO: CR = 6.55x (threshold: 1.5x)</t>
        </is>
      </c>
    </row>
    <row r="15">
      <c r="A15" t="inlineStr">
        <is>
          <t>Not financial/real estate/closed end fund</t>
        </is>
      </c>
      <c r="F15" s="19" t="n"/>
      <c r="G15" s="25" t="n"/>
      <c r="H15" t="n">
        <v>1</v>
      </c>
      <c r="I15" t="inlineStr">
        <is>
          <t>MANUAL: Check industry classification manually</t>
        </is>
      </c>
    </row>
    <row r="16">
      <c r="A16" t="inlineStr">
        <is>
          <t>Company is buying back stock</t>
        </is>
      </c>
      <c r="F16" s="19" t="n"/>
      <c r="G16" s="25" t="n"/>
      <c r="H16" t="n">
        <v>0</v>
      </c>
      <c r="I16" t="inlineStr">
        <is>
          <t>AUTO: Shares: 7 -&gt; 7 (no buyback)</t>
        </is>
      </c>
    </row>
    <row r="17">
      <c r="A17" t="inlineStr">
        <is>
          <t>Low Price-to-Net Cash</t>
        </is>
      </c>
      <c r="F17" s="19" t="n"/>
      <c r="G17" s="25" t="n"/>
      <c r="H17" t="n">
        <v>1</v>
      </c>
      <c r="I17" t="inlineStr">
        <is>
          <t>MANUAL: Net cash calculation requires manual review</t>
        </is>
      </c>
    </row>
    <row r="18">
      <c r="A18" t="inlineStr">
        <is>
          <t>Insider Ownership</t>
        </is>
      </c>
      <c r="F18" s="19" t="n"/>
      <c r="G18" s="25" t="n"/>
      <c r="H18" t="n">
        <v>1</v>
      </c>
      <c r="I18" t="inlineStr">
        <is>
          <t>MANUAL: Check ownership sheet manually</t>
        </is>
      </c>
    </row>
    <row r="19">
      <c r="A19" t="inlineStr">
        <is>
          <t>Insider Buys vs. Sells</t>
        </is>
      </c>
      <c r="G19" s="25" t="n"/>
      <c r="H19" t="n">
        <v>0</v>
      </c>
      <c r="I19" t="inlineStr">
        <is>
          <t>MANUAL: Requires insider transaction data</t>
        </is>
      </c>
    </row>
    <row r="20">
      <c r="A20" t="inlineStr">
        <is>
          <t>Burn Rate Low or Positive</t>
        </is>
      </c>
      <c r="F20" s="19" t="n"/>
      <c r="G20" s="25" t="n"/>
      <c r="H20" t="n">
        <v>1</v>
      </c>
      <c r="I20" t="inlineStr">
        <is>
          <t>AUTO: NCAV YoY: -5.9%</t>
        </is>
      </c>
    </row>
    <row r="21">
      <c r="A21" t="inlineStr">
        <is>
          <t>Insider Pay</t>
        </is>
      </c>
      <c r="G21" s="25" t="n"/>
      <c r="H21" s="38" t="n">
        <v>1</v>
      </c>
      <c r="I21" t="inlineStr">
        <is>
          <t>MANUAL: Qualitative assessment required</t>
        </is>
      </c>
    </row>
    <row r="22">
      <c r="A22" t="inlineStr">
        <is>
          <t>Dividend Yield?</t>
        </is>
      </c>
      <c r="F22" s="19" t="n"/>
      <c r="G22" s="25" t="n"/>
      <c r="H22" t="n">
        <v>1</v>
      </c>
      <c r="I22" t="inlineStr">
        <is>
          <t>MANUAL: Requires dividend and price data</t>
        </is>
      </c>
    </row>
    <row r="23">
      <c r="A23" s="2" t="inlineStr">
        <is>
          <t>Total</t>
        </is>
      </c>
      <c r="B23" s="2" t="n"/>
      <c r="C23" s="2" t="n"/>
      <c r="D23" s="2" t="n"/>
      <c r="E23" s="2" t="n"/>
      <c r="F23" s="2" t="n"/>
      <c r="G23" s="3" t="n"/>
      <c r="H23" s="3">
        <f>SUM(H14:H22)</f>
        <v/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U99"/>
  <sheetViews>
    <sheetView workbookViewId="0">
      <pane xSplit="1" ySplit="1" topLeftCell="AF2" activePane="bottomRight" state="frozen"/>
      <selection pane="topRight" activeCell="B1" sqref="B1"/>
      <selection pane="bottomLeft" activeCell="A2" sqref="A2"/>
      <selection pane="bottomRight" activeCell="AP28" sqref="AP28"/>
    </sheetView>
  </sheetViews>
  <sheetFormatPr baseColWidth="8" defaultColWidth="9.140625" defaultRowHeight="12.75"/>
  <cols>
    <col width="12.5703125" customWidth="1" style="6" min="1" max="2"/>
    <col width="12.7109375" customWidth="1" style="6" min="3" max="42"/>
    <col width="9.140625" customWidth="1" style="6" min="43" max="44"/>
    <col width="9.140625" customWidth="1" style="6" min="45" max="16384"/>
  </cols>
  <sheetData>
    <row r="1">
      <c r="C1" s="41" t="inlineStr">
        <is>
          <t>2015-09-30</t>
        </is>
      </c>
      <c r="D1" s="41" t="inlineStr">
        <is>
          <t>2015-12-31</t>
        </is>
      </c>
      <c r="E1" s="41" t="inlineStr">
        <is>
          <t>2016-03-31</t>
        </is>
      </c>
      <c r="F1" s="41" t="inlineStr">
        <is>
          <t>2016-06-30</t>
        </is>
      </c>
      <c r="G1" s="41" t="inlineStr">
        <is>
          <t>2016-09-30</t>
        </is>
      </c>
      <c r="H1" s="41" t="inlineStr">
        <is>
          <t>2016-12-31</t>
        </is>
      </c>
      <c r="I1" s="41" t="inlineStr">
        <is>
          <t>2017-03-31</t>
        </is>
      </c>
      <c r="J1" s="41" t="inlineStr">
        <is>
          <t>2017-06-30</t>
        </is>
      </c>
      <c r="K1" s="41" t="inlineStr">
        <is>
          <t>2017-09-30</t>
        </is>
      </c>
      <c r="L1" s="41" t="inlineStr">
        <is>
          <t>2017-12-31</t>
        </is>
      </c>
      <c r="M1" s="41" t="inlineStr">
        <is>
          <t>2018-03-31</t>
        </is>
      </c>
      <c r="N1" s="41" t="inlineStr">
        <is>
          <t>2018-06-30</t>
        </is>
      </c>
      <c r="O1" s="41" t="inlineStr">
        <is>
          <t>2018-09-30</t>
        </is>
      </c>
      <c r="P1" s="41" t="inlineStr">
        <is>
          <t>2018-12-31</t>
        </is>
      </c>
      <c r="Q1" s="41" t="inlineStr">
        <is>
          <t>2019-03-31</t>
        </is>
      </c>
      <c r="R1" s="41" t="inlineStr">
        <is>
          <t>2019-06-30</t>
        </is>
      </c>
      <c r="S1" s="41" t="inlineStr">
        <is>
          <t>2019-09-30</t>
        </is>
      </c>
      <c r="T1" s="41" t="inlineStr">
        <is>
          <t>2019-12-31</t>
        </is>
      </c>
      <c r="U1" s="41" t="inlineStr">
        <is>
          <t>2020-03-31</t>
        </is>
      </c>
      <c r="V1" s="62" t="inlineStr">
        <is>
          <t>2020-06-30</t>
        </is>
      </c>
      <c r="W1" s="62" t="inlineStr">
        <is>
          <t>2020-09-30</t>
        </is>
      </c>
      <c r="X1" s="62" t="inlineStr">
        <is>
          <t>2020-12-31</t>
        </is>
      </c>
      <c r="Y1" s="62" t="inlineStr">
        <is>
          <t>2021-03-31</t>
        </is>
      </c>
      <c r="Z1" s="62" t="inlineStr">
        <is>
          <t>2021-06-30</t>
        </is>
      </c>
      <c r="AA1" s="62" t="inlineStr">
        <is>
          <t>2021-09-30</t>
        </is>
      </c>
      <c r="AB1" s="62" t="inlineStr">
        <is>
          <t>2021-12-31</t>
        </is>
      </c>
      <c r="AC1" s="62" t="inlineStr">
        <is>
          <t>2022-03-31</t>
        </is>
      </c>
      <c r="AD1" s="62" t="inlineStr">
        <is>
          <t>2022-06-30</t>
        </is>
      </c>
      <c r="AE1" s="62" t="inlineStr">
        <is>
          <t>2022-09-30</t>
        </is>
      </c>
      <c r="AF1" s="62" t="inlineStr">
        <is>
          <t>2022-12-31</t>
        </is>
      </c>
      <c r="AG1" s="62" t="inlineStr">
        <is>
          <t>2023-03-31</t>
        </is>
      </c>
      <c r="AH1" s="62" t="inlineStr">
        <is>
          <t>2023-06-30</t>
        </is>
      </c>
      <c r="AI1" s="62" t="inlineStr">
        <is>
          <t>2023-09-30</t>
        </is>
      </c>
      <c r="AJ1" s="62" t="inlineStr">
        <is>
          <t>2023-12-31</t>
        </is>
      </c>
      <c r="AK1" s="62" t="inlineStr">
        <is>
          <t>2024-03-31</t>
        </is>
      </c>
      <c r="AL1" s="62" t="inlineStr">
        <is>
          <t>2024-06-30</t>
        </is>
      </c>
      <c r="AM1" s="62" t="inlineStr">
        <is>
          <t>2024-09-30</t>
        </is>
      </c>
      <c r="AN1" s="62" t="inlineStr">
        <is>
          <t>2024-12-31</t>
        </is>
      </c>
      <c r="AO1" s="62" t="inlineStr">
        <is>
          <t>2025-03-31</t>
        </is>
      </c>
      <c r="AP1" s="62" t="inlineStr">
        <is>
          <t>2025-06-30</t>
        </is>
      </c>
    </row>
    <row r="2">
      <c r="A2" s="6" t="inlineStr">
        <is>
          <t>Total Assets</t>
        </is>
      </c>
      <c r="C2" s="7">
        <f>_xlfn.NUMBERVALUE(advaltech_bs!D27)</f>
        <v/>
      </c>
      <c r="D2" s="7">
        <f>_xlfn.NUMBERVALUE(advaltech_bs!E27)</f>
        <v/>
      </c>
      <c r="E2" s="7">
        <f>_xlfn.NUMBERVALUE(advaltech_bs!F27)</f>
        <v/>
      </c>
      <c r="F2" s="7">
        <f>_xlfn.NUMBERVALUE(advaltech_bs!G27)</f>
        <v/>
      </c>
      <c r="G2" s="7">
        <f>_xlfn.NUMBERVALUE(advaltech_bs!H27)</f>
        <v/>
      </c>
      <c r="H2" s="7">
        <f>_xlfn.NUMBERVALUE(advaltech_bs!I27)</f>
        <v/>
      </c>
      <c r="I2" s="7">
        <f>_xlfn.NUMBERVALUE(advaltech_bs!J27)</f>
        <v/>
      </c>
      <c r="J2" s="7">
        <f>_xlfn.NUMBERVALUE(advaltech_bs!K27)</f>
        <v/>
      </c>
      <c r="K2" s="7">
        <f>_xlfn.NUMBERVALUE(advaltech_bs!L27)</f>
        <v/>
      </c>
      <c r="L2" s="7">
        <f>_xlfn.NUMBERVALUE(advaltech_bs!M27)</f>
        <v/>
      </c>
      <c r="M2" s="7">
        <f>_xlfn.NUMBERVALUE(advaltech_bs!N27)</f>
        <v/>
      </c>
      <c r="N2" s="7">
        <f>_xlfn.NUMBERVALUE(advaltech_bs!O27)</f>
        <v/>
      </c>
      <c r="O2" s="7">
        <f>_xlfn.NUMBERVALUE(advaltech_bs!P27)</f>
        <v/>
      </c>
      <c r="P2" s="7">
        <f>_xlfn.NUMBERVALUE(advaltech_bs!Q27)</f>
        <v/>
      </c>
      <c r="Q2" s="7">
        <f>_xlfn.NUMBERVALUE(advaltech_bs!R27)</f>
        <v/>
      </c>
      <c r="R2" s="7">
        <f>_xlfn.NUMBERVALUE(advaltech_bs!S27)</f>
        <v/>
      </c>
      <c r="S2" s="7">
        <f>_xlfn.NUMBERVALUE(advaltech_bs!T27)</f>
        <v/>
      </c>
      <c r="T2" s="7">
        <f>_xlfn.NUMBERVALUE(advaltech_bs!U27)</f>
        <v/>
      </c>
      <c r="U2" s="7">
        <f>_xlfn.NUMBERVALUE(advaltech_bs!V27)</f>
        <v/>
      </c>
      <c r="V2" s="63">
        <f>_xlfn.NUMBERVALUE(advaltech_bs!W27)</f>
        <v/>
      </c>
      <c r="W2" s="63">
        <f>_xlfn.NUMBERVALUE(advaltech_bs!W27)</f>
        <v/>
      </c>
      <c r="X2" s="63">
        <f>_xlfn.NUMBERVALUE(advaltech_bs!X27)</f>
        <v/>
      </c>
      <c r="Y2" s="63">
        <f>_xlfn.NUMBERVALUE(advaltech_bs!Y27)</f>
        <v/>
      </c>
      <c r="Z2" s="63">
        <f>_xlfn.NUMBERVALUE(advaltech_bs!Z27)</f>
        <v/>
      </c>
      <c r="AA2" s="63">
        <f>_xlfn.NUMBERVALUE(advaltech_bs!AA27)</f>
        <v/>
      </c>
      <c r="AB2" s="63">
        <f>_xlfn.NUMBERVALUE(advaltech_bs!AB27)</f>
        <v/>
      </c>
      <c r="AC2" s="63">
        <f>_xlfn.NUMBERVALUE(advaltech_bs!AC27)</f>
        <v/>
      </c>
      <c r="AD2" s="63">
        <f>_xlfn.NUMBERVALUE(advaltech_bs!AD27)</f>
        <v/>
      </c>
      <c r="AE2" s="63">
        <f>_xlfn.NUMBERVALUE(advaltech_bs!AE27)</f>
        <v/>
      </c>
      <c r="AF2" s="63">
        <f>_xlfn.NUMBERVALUE(advaltech_bs!AF27)</f>
        <v/>
      </c>
      <c r="AG2" s="63">
        <f>_xlfn.NUMBERVALUE(advaltech_bs!AG27)</f>
        <v/>
      </c>
      <c r="AH2" s="63">
        <f>_xlfn.NUMBERVALUE(advaltech_bs!AH27)</f>
        <v/>
      </c>
      <c r="AI2" s="63">
        <f>_xlfn.NUMBERVALUE(advaltech_bs!AI27)</f>
        <v/>
      </c>
      <c r="AJ2" s="63">
        <f>_xlfn.NUMBERVALUE(advaltech_bs!AJ27)</f>
        <v/>
      </c>
      <c r="AK2" s="63">
        <f>_xlfn.NUMBERVALUE(advaltech_bs!AK27)</f>
        <v/>
      </c>
      <c r="AL2" s="63">
        <f>_xlfn.NUMBERVALUE(advaltech_bs!AL27)</f>
        <v/>
      </c>
      <c r="AM2" s="63">
        <f>_xlfn.NUMBERVALUE(advaltech_bs!AM27)</f>
        <v/>
      </c>
      <c r="AN2" s="63">
        <f>_xlfn.NUMBERVALUE(advaltech_bs!AN27)</f>
        <v/>
      </c>
      <c r="AO2" s="63">
        <f>_xlfn.NUMBERVALUE(advaltech_bs!AO27)</f>
        <v/>
      </c>
      <c r="AP2" s="63">
        <f>_xlfn.NUMBERVALUE(advaltech_bs!AP27)</f>
        <v/>
      </c>
    </row>
    <row r="3">
      <c r="A3" s="6" t="inlineStr">
        <is>
          <t>1 yr avg</t>
        </is>
      </c>
      <c r="C3" s="7" t="n"/>
      <c r="D3" s="8">
        <f>AVERAGE(C2:D2)</f>
        <v/>
      </c>
      <c r="E3" s="8">
        <f>AVERAGE(D2:E2)</f>
        <v/>
      </c>
      <c r="F3" s="8">
        <f>AVERAGE(E2:F2)</f>
        <v/>
      </c>
      <c r="G3" s="8">
        <f>AVERAGE(F2:G2)</f>
        <v/>
      </c>
      <c r="H3" s="8">
        <f>AVERAGE(G2:H2)</f>
        <v/>
      </c>
      <c r="I3" s="8">
        <f>AVERAGE(H2:I2)</f>
        <v/>
      </c>
      <c r="J3" s="8">
        <f>AVERAGE(I2:J2)</f>
        <v/>
      </c>
      <c r="K3" s="8">
        <f>AVERAGE(J2:K2)</f>
        <v/>
      </c>
      <c r="L3" s="8">
        <f>AVERAGE(K2:L2)</f>
        <v/>
      </c>
      <c r="M3" s="8">
        <f>AVERAGE(L2:M2)</f>
        <v/>
      </c>
      <c r="N3" s="8">
        <f>AVERAGE(M2:N2)</f>
        <v/>
      </c>
      <c r="O3" s="8">
        <f>AVERAGE(N2:O2)</f>
        <v/>
      </c>
      <c r="P3" s="8">
        <f>AVERAGE(O2:P2)</f>
        <v/>
      </c>
      <c r="Q3" s="8">
        <f>AVERAGE(P2:Q2)</f>
        <v/>
      </c>
      <c r="R3" s="8">
        <f>AVERAGE(Q2:R2)</f>
        <v/>
      </c>
      <c r="S3" s="8">
        <f>AVERAGE(R2:S2)</f>
        <v/>
      </c>
      <c r="T3" s="8">
        <f>AVERAGE(S2:T2)</f>
        <v/>
      </c>
      <c r="U3" s="8">
        <f>AVERAGE(T2:U2)</f>
        <v/>
      </c>
      <c r="V3" s="64">
        <f>AVERAGE(U2:V2)</f>
        <v/>
      </c>
      <c r="W3" s="64">
        <f>AVERAGE(U2:W2)</f>
        <v/>
      </c>
      <c r="X3" s="64">
        <f>AVERAGE(U2:X2)</f>
        <v/>
      </c>
      <c r="Y3" s="64">
        <f>AVERAGE(U2:Y2)</f>
        <v/>
      </c>
      <c r="Z3" s="64">
        <f>AVERAGE(U2:Z2)</f>
        <v/>
      </c>
      <c r="AA3" s="64">
        <f>AVERAGE(U2:AA2)</f>
        <v/>
      </c>
      <c r="AB3" s="64">
        <f>AVERAGE(U2:AB2)</f>
        <v/>
      </c>
      <c r="AC3" s="64">
        <f>AVERAGE(U2:AC2)</f>
        <v/>
      </c>
      <c r="AD3" s="64">
        <f>AVERAGE(U2:AD2)</f>
        <v/>
      </c>
      <c r="AE3" s="64">
        <f>AVERAGE(U2:AE2)</f>
        <v/>
      </c>
      <c r="AF3" s="64">
        <f>AVERAGE(U2:AF2)</f>
        <v/>
      </c>
      <c r="AG3" s="64">
        <f>AVERAGE(U2:AG2)</f>
        <v/>
      </c>
      <c r="AH3" s="64">
        <f>AVERAGE(U2:AH2)</f>
        <v/>
      </c>
      <c r="AI3" s="64">
        <f>AVERAGE(U2:AI2)</f>
        <v/>
      </c>
      <c r="AJ3" s="64">
        <f>AVERAGE(U2:AJ2)</f>
        <v/>
      </c>
      <c r="AK3" s="64">
        <f>AVERAGE(U2:AK2)</f>
        <v/>
      </c>
      <c r="AL3" s="64">
        <f>AVERAGE(U2:AL2)</f>
        <v/>
      </c>
      <c r="AM3" s="64">
        <f>AVERAGE(U2:AM2)</f>
        <v/>
      </c>
      <c r="AN3" s="64">
        <f>AVERAGE(U2:AN2)</f>
        <v/>
      </c>
      <c r="AO3" s="64">
        <f>AVERAGE(U2:AO2)</f>
        <v/>
      </c>
      <c r="AP3" s="64">
        <f>AVERAGE(U2:AP2)</f>
        <v/>
      </c>
    </row>
    <row r="4">
      <c r="V4" s="60" t="n"/>
      <c r="W4" s="60" t="n"/>
      <c r="X4" s="60" t="n"/>
      <c r="Y4" s="60" t="n"/>
      <c r="Z4" s="60" t="n"/>
      <c r="AA4" s="60" t="n"/>
      <c r="AB4" s="60" t="n"/>
      <c r="AC4" s="60" t="n"/>
      <c r="AD4" s="60" t="n"/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</row>
    <row r="5">
      <c r="A5" s="6" t="inlineStr">
        <is>
          <t>Total Equity</t>
        </is>
      </c>
      <c r="C5" s="7">
        <f>_xlfn.NUMBERVALUE(advaltech_bs!D51)</f>
        <v/>
      </c>
      <c r="D5" s="7">
        <f>_xlfn.NUMBERVALUE(advaltech_bs!E51)</f>
        <v/>
      </c>
      <c r="E5" s="7">
        <f>_xlfn.NUMBERVALUE(advaltech_bs!F51)</f>
        <v/>
      </c>
      <c r="F5" s="7">
        <f>_xlfn.NUMBERVALUE(advaltech_bs!G51)</f>
        <v/>
      </c>
      <c r="G5" s="7">
        <f>_xlfn.NUMBERVALUE(advaltech_bs!H51)</f>
        <v/>
      </c>
      <c r="H5" s="7">
        <f>_xlfn.NUMBERVALUE(advaltech_bs!I51)</f>
        <v/>
      </c>
      <c r="I5" s="7">
        <f>_xlfn.NUMBERVALUE(advaltech_bs!J51)</f>
        <v/>
      </c>
      <c r="J5" s="7">
        <f>_xlfn.NUMBERVALUE(advaltech_bs!K51)</f>
        <v/>
      </c>
      <c r="K5" s="7">
        <f>_xlfn.NUMBERVALUE(advaltech_bs!L51)</f>
        <v/>
      </c>
      <c r="L5" s="7">
        <f>_xlfn.NUMBERVALUE(advaltech_bs!M51)</f>
        <v/>
      </c>
      <c r="M5" s="7">
        <f>_xlfn.NUMBERVALUE(advaltech_bs!N51)</f>
        <v/>
      </c>
      <c r="N5" s="7">
        <f>_xlfn.NUMBERVALUE(advaltech_bs!O51)</f>
        <v/>
      </c>
      <c r="O5" s="7">
        <f>_xlfn.NUMBERVALUE(advaltech_bs!P51)</f>
        <v/>
      </c>
      <c r="P5" s="7">
        <f>_xlfn.NUMBERVALUE(advaltech_bs!Q51)</f>
        <v/>
      </c>
      <c r="Q5" s="7">
        <f>_xlfn.NUMBERVALUE(advaltech_bs!R51)</f>
        <v/>
      </c>
      <c r="R5" s="7">
        <f>_xlfn.NUMBERVALUE(advaltech_bs!S51)</f>
        <v/>
      </c>
      <c r="S5" s="7">
        <f>_xlfn.NUMBERVALUE(advaltech_bs!T51)</f>
        <v/>
      </c>
      <c r="T5" s="7">
        <f>_xlfn.NUMBERVALUE(advaltech_bs!U51)</f>
        <v/>
      </c>
      <c r="U5" s="7">
        <f>_xlfn.NUMBERVALUE(advaltech_bs!V51)</f>
        <v/>
      </c>
      <c r="V5" s="63">
        <f>_xlfn.NUMBERVALUE(advaltech_bs!W51)</f>
        <v/>
      </c>
      <c r="W5" s="63">
        <f>_xlfn.NUMBERVALUE(advaltech_bs!W51)</f>
        <v/>
      </c>
      <c r="X5" s="63">
        <f>_xlfn.NUMBERVALUE(advaltech_bs!X51)</f>
        <v/>
      </c>
      <c r="Y5" s="63">
        <f>_xlfn.NUMBERVALUE(advaltech_bs!Y51)</f>
        <v/>
      </c>
      <c r="Z5" s="63">
        <f>_xlfn.NUMBERVALUE(advaltech_bs!Z51)</f>
        <v/>
      </c>
      <c r="AA5" s="63">
        <f>_xlfn.NUMBERVALUE(advaltech_bs!AA51)</f>
        <v/>
      </c>
      <c r="AB5" s="63">
        <f>_xlfn.NUMBERVALUE(advaltech_bs!AB51)</f>
        <v/>
      </c>
      <c r="AC5" s="63">
        <f>_xlfn.NUMBERVALUE(advaltech_bs!AC51)</f>
        <v/>
      </c>
      <c r="AD5" s="63">
        <f>_xlfn.NUMBERVALUE(advaltech_bs!AD51)</f>
        <v/>
      </c>
      <c r="AE5" s="63">
        <f>_xlfn.NUMBERVALUE(advaltech_bs!AE51)</f>
        <v/>
      </c>
      <c r="AF5" s="63">
        <f>_xlfn.NUMBERVALUE(advaltech_bs!AF51)</f>
        <v/>
      </c>
      <c r="AG5" s="63">
        <f>_xlfn.NUMBERVALUE(advaltech_bs!AG51)</f>
        <v/>
      </c>
      <c r="AH5" s="63">
        <f>_xlfn.NUMBERVALUE(advaltech_bs!AH51)</f>
        <v/>
      </c>
      <c r="AI5" s="63">
        <f>_xlfn.NUMBERVALUE(advaltech_bs!AI51)</f>
        <v/>
      </c>
      <c r="AJ5" s="63">
        <f>_xlfn.NUMBERVALUE(advaltech_bs!AJ51)</f>
        <v/>
      </c>
      <c r="AK5" s="63">
        <f>_xlfn.NUMBERVALUE(advaltech_bs!AK51)</f>
        <v/>
      </c>
      <c r="AL5" s="63">
        <f>_xlfn.NUMBERVALUE(advaltech_bs!AL51)</f>
        <v/>
      </c>
      <c r="AM5" s="63">
        <f>_xlfn.NUMBERVALUE(advaltech_bs!AM51)</f>
        <v/>
      </c>
      <c r="AN5" s="63">
        <f>_xlfn.NUMBERVALUE(advaltech_bs!AN51)</f>
        <v/>
      </c>
      <c r="AO5" s="63">
        <f>_xlfn.NUMBERVALUE(advaltech_bs!AO51)</f>
        <v/>
      </c>
      <c r="AP5" s="63">
        <f>_xlfn.NUMBERVALUE(advaltech_bs!AP51)</f>
        <v/>
      </c>
    </row>
    <row r="6">
      <c r="A6" s="6" t="inlineStr">
        <is>
          <t>1 yr avg</t>
        </is>
      </c>
      <c r="C6" s="7" t="n"/>
      <c r="D6" s="8">
        <f>AVERAGE(C5:D5)</f>
        <v/>
      </c>
      <c r="E6" s="8">
        <f>AVERAGE(D5:E5)</f>
        <v/>
      </c>
      <c r="F6" s="8">
        <f>AVERAGE(E5:F5)</f>
        <v/>
      </c>
      <c r="G6" s="8">
        <f>AVERAGE(F5:G5)</f>
        <v/>
      </c>
      <c r="H6" s="8">
        <f>AVERAGE(G5:H5)</f>
        <v/>
      </c>
      <c r="I6" s="8">
        <f>AVERAGE(H5:I5)</f>
        <v/>
      </c>
      <c r="J6" s="8">
        <f>AVERAGE(I5:J5)</f>
        <v/>
      </c>
      <c r="K6" s="8">
        <f>AVERAGE(J5:K5)</f>
        <v/>
      </c>
      <c r="L6" s="8">
        <f>AVERAGE(K5:L5)</f>
        <v/>
      </c>
      <c r="M6" s="8">
        <f>AVERAGE(L5:M5)</f>
        <v/>
      </c>
      <c r="N6" s="8">
        <f>AVERAGE(M5:N5)</f>
        <v/>
      </c>
      <c r="O6" s="8">
        <f>AVERAGE(N5:O5)</f>
        <v/>
      </c>
      <c r="P6" s="8">
        <f>AVERAGE(O5:P5)</f>
        <v/>
      </c>
      <c r="Q6" s="8">
        <f>AVERAGE(P5:Q5)</f>
        <v/>
      </c>
      <c r="R6" s="8">
        <f>AVERAGE(Q5:R5)</f>
        <v/>
      </c>
      <c r="S6" s="8">
        <f>AVERAGE(R5:S5)</f>
        <v/>
      </c>
      <c r="T6" s="8">
        <f>AVERAGE(S5:T5)</f>
        <v/>
      </c>
      <c r="U6" s="8">
        <f>AVERAGE(T5:U5)</f>
        <v/>
      </c>
      <c r="V6" s="64">
        <f>AVERAGE(U5:V5)</f>
        <v/>
      </c>
      <c r="W6" s="64">
        <f>AVERAGE(U5:W5)</f>
        <v/>
      </c>
      <c r="X6" s="64">
        <f>AVERAGE(U5:X5)</f>
        <v/>
      </c>
      <c r="Y6" s="64">
        <f>AVERAGE(U5:Y5)</f>
        <v/>
      </c>
      <c r="Z6" s="64">
        <f>AVERAGE(U5:Z5)</f>
        <v/>
      </c>
      <c r="AA6" s="64">
        <f>AVERAGE(U5:AA5)</f>
        <v/>
      </c>
      <c r="AB6" s="64">
        <f>AVERAGE(U5:AB5)</f>
        <v/>
      </c>
      <c r="AC6" s="64">
        <f>AVERAGE(U5:AC5)</f>
        <v/>
      </c>
      <c r="AD6" s="64">
        <f>AVERAGE(U5:AD5)</f>
        <v/>
      </c>
      <c r="AE6" s="64">
        <f>AVERAGE(U5:AE5)</f>
        <v/>
      </c>
      <c r="AF6" s="64">
        <f>AVERAGE(U5:AF5)</f>
        <v/>
      </c>
      <c r="AG6" s="64">
        <f>AVERAGE(U5:AG5)</f>
        <v/>
      </c>
      <c r="AH6" s="64">
        <f>AVERAGE(U5:AH5)</f>
        <v/>
      </c>
      <c r="AI6" s="64">
        <f>AVERAGE(U5:AI5)</f>
        <v/>
      </c>
      <c r="AJ6" s="64">
        <f>AVERAGE(U5:AJ5)</f>
        <v/>
      </c>
      <c r="AK6" s="64">
        <f>AVERAGE(U5:AK5)</f>
        <v/>
      </c>
      <c r="AL6" s="64">
        <f>AVERAGE(U5:AL5)</f>
        <v/>
      </c>
      <c r="AM6" s="64">
        <f>AVERAGE(U5:AM5)</f>
        <v/>
      </c>
      <c r="AN6" s="64">
        <f>AVERAGE(U5:AN5)</f>
        <v/>
      </c>
      <c r="AO6" s="64">
        <f>AVERAGE(U5:AO5)</f>
        <v/>
      </c>
      <c r="AP6" s="64">
        <f>AVERAGE(U5:AP5)</f>
        <v/>
      </c>
    </row>
    <row r="7"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0" t="n"/>
      <c r="AP7" s="60" t="n"/>
    </row>
    <row r="8">
      <c r="A8" s="6" t="inlineStr">
        <is>
          <t>Sales</t>
        </is>
      </c>
      <c r="C8" s="36">
        <f>_xlfn.NUMBERVALUE(advaltech_IS!D12)</f>
        <v/>
      </c>
      <c r="D8" s="36">
        <f>_xlfn.NUMBERVALUE(advaltech_IS!E12)</f>
        <v/>
      </c>
      <c r="E8" s="36">
        <f>_xlfn.NUMBERVALUE(advaltech_IS!F12)</f>
        <v/>
      </c>
      <c r="F8" s="36">
        <f>_xlfn.NUMBERVALUE(advaltech_IS!G12)</f>
        <v/>
      </c>
      <c r="G8" s="36">
        <f>_xlfn.NUMBERVALUE(advaltech_IS!H12)</f>
        <v/>
      </c>
      <c r="H8" s="36">
        <f>_xlfn.NUMBERVALUE(advaltech_IS!I12)</f>
        <v/>
      </c>
      <c r="I8" s="36">
        <f>_xlfn.NUMBERVALUE(advaltech_IS!J12)</f>
        <v/>
      </c>
      <c r="J8" s="36">
        <f>_xlfn.NUMBERVALUE(advaltech_IS!K12)</f>
        <v/>
      </c>
      <c r="K8" s="36">
        <f>_xlfn.NUMBERVALUE(advaltech_IS!L12)</f>
        <v/>
      </c>
      <c r="L8" s="36">
        <f>_xlfn.NUMBERVALUE(advaltech_IS!M12)</f>
        <v/>
      </c>
      <c r="M8" s="36">
        <f>_xlfn.NUMBERVALUE(advaltech_IS!N12)</f>
        <v/>
      </c>
      <c r="N8" s="36">
        <f>_xlfn.NUMBERVALUE(advaltech_IS!O12)</f>
        <v/>
      </c>
      <c r="O8" s="36">
        <f>_xlfn.NUMBERVALUE(advaltech_IS!P12)</f>
        <v/>
      </c>
      <c r="P8" s="36">
        <f>_xlfn.NUMBERVALUE(advaltech_IS!Q12)</f>
        <v/>
      </c>
      <c r="Q8" s="36">
        <f>_xlfn.NUMBERVALUE(advaltech_IS!R12)</f>
        <v/>
      </c>
      <c r="R8" s="36">
        <f>_xlfn.NUMBERVALUE(advaltech_IS!S12)</f>
        <v/>
      </c>
      <c r="S8" s="36">
        <f>_xlfn.NUMBERVALUE(advaltech_IS!T12)</f>
        <v/>
      </c>
      <c r="T8" s="36">
        <f>_xlfn.NUMBERVALUE(advaltech_IS!U12)</f>
        <v/>
      </c>
      <c r="U8" s="36">
        <f>_xlfn.NUMBERVALUE(advaltech_IS!V12)</f>
        <v/>
      </c>
      <c r="V8" s="65">
        <f>_xlfn.NUMBERVALUE(advaltech_IS!W12)</f>
        <v/>
      </c>
      <c r="W8" s="65">
        <f>_xlfn.NUMBERVALUE(advaltech_IS!W12)</f>
        <v/>
      </c>
      <c r="X8" s="65">
        <f>_xlfn.NUMBERVALUE(advaltech_IS!X12)</f>
        <v/>
      </c>
      <c r="Y8" s="65">
        <f>_xlfn.NUMBERVALUE(advaltech_IS!Y12)</f>
        <v/>
      </c>
      <c r="Z8" s="65">
        <f>_xlfn.NUMBERVALUE(advaltech_IS!Z12)</f>
        <v/>
      </c>
      <c r="AA8" s="65">
        <f>_xlfn.NUMBERVALUE(advaltech_IS!AA12)</f>
        <v/>
      </c>
      <c r="AB8" s="65">
        <f>_xlfn.NUMBERVALUE(advaltech_IS!AB12)</f>
        <v/>
      </c>
      <c r="AC8" s="65">
        <f>_xlfn.NUMBERVALUE(advaltech_IS!AC12)</f>
        <v/>
      </c>
      <c r="AD8" s="65">
        <f>_xlfn.NUMBERVALUE(advaltech_IS!AD12)</f>
        <v/>
      </c>
      <c r="AE8" s="65">
        <f>_xlfn.NUMBERVALUE(advaltech_IS!AE12)</f>
        <v/>
      </c>
      <c r="AF8" s="65">
        <f>_xlfn.NUMBERVALUE(advaltech_IS!AF12)</f>
        <v/>
      </c>
      <c r="AG8" s="65">
        <f>_xlfn.NUMBERVALUE(advaltech_IS!AG12)</f>
        <v/>
      </c>
      <c r="AH8" s="65">
        <f>_xlfn.NUMBERVALUE(advaltech_IS!AH12)</f>
        <v/>
      </c>
      <c r="AI8" s="65">
        <f>_xlfn.NUMBERVALUE(advaltech_IS!AI12)</f>
        <v/>
      </c>
      <c r="AJ8" s="65">
        <f>_xlfn.NUMBERVALUE(advaltech_IS!AJ12)</f>
        <v/>
      </c>
      <c r="AK8" s="65">
        <f>_xlfn.NUMBERVALUE(advaltech_IS!AK12)</f>
        <v/>
      </c>
      <c r="AL8" s="65">
        <f>_xlfn.NUMBERVALUE(advaltech_IS!AL12)</f>
        <v/>
      </c>
      <c r="AM8" s="65">
        <f>_xlfn.NUMBERVALUE(advaltech_IS!AM12)</f>
        <v/>
      </c>
      <c r="AN8" s="65">
        <f>_xlfn.NUMBERVALUE(advaltech_IS!AN12)</f>
        <v/>
      </c>
      <c r="AO8" s="65">
        <f>_xlfn.NUMBERVALUE(advaltech_IS!AO12)</f>
        <v/>
      </c>
      <c r="AP8" s="65">
        <f>_xlfn.NUMBERVALUE(advaltech_IS!AP12)</f>
        <v/>
      </c>
    </row>
    <row r="9">
      <c r="A9" s="6" t="inlineStr">
        <is>
          <t>EBIT</t>
        </is>
      </c>
      <c r="C9" s="36">
        <f>_xlfn.NUMBERVALUE(advaltech_IS!D24)</f>
        <v/>
      </c>
      <c r="D9" s="36">
        <f>_xlfn.NUMBERVALUE(advaltech_IS!E43)</f>
        <v/>
      </c>
      <c r="E9" s="36">
        <f>_xlfn.NUMBERVALUE(advaltech_IS!F43)</f>
        <v/>
      </c>
      <c r="F9" s="36">
        <f>_xlfn.NUMBERVALUE(advaltech_IS!G43)</f>
        <v/>
      </c>
      <c r="G9" s="36">
        <f>_xlfn.NUMBERVALUE(advaltech_IS!H43)</f>
        <v/>
      </c>
      <c r="H9" s="36">
        <f>_xlfn.NUMBERVALUE(advaltech_IS!I43)</f>
        <v/>
      </c>
      <c r="I9" s="36">
        <f>_xlfn.NUMBERVALUE(advaltech_IS!J43)</f>
        <v/>
      </c>
      <c r="J9" s="36">
        <f>_xlfn.NUMBERVALUE(advaltech_IS!K43)</f>
        <v/>
      </c>
      <c r="K9" s="36">
        <f>_xlfn.NUMBERVALUE(advaltech_IS!L43)</f>
        <v/>
      </c>
      <c r="L9" s="36">
        <f>_xlfn.NUMBERVALUE(advaltech_IS!M43)</f>
        <v/>
      </c>
      <c r="M9" s="36">
        <f>_xlfn.NUMBERVALUE(advaltech_IS!N43)</f>
        <v/>
      </c>
      <c r="N9" s="36">
        <f>_xlfn.NUMBERVALUE(advaltech_IS!O43)</f>
        <v/>
      </c>
      <c r="O9" s="36">
        <f>_xlfn.NUMBERVALUE(advaltech_IS!P43)</f>
        <v/>
      </c>
      <c r="P9" s="36">
        <f>_xlfn.NUMBERVALUE(advaltech_IS!Q43)</f>
        <v/>
      </c>
      <c r="Q9" s="36">
        <f>_xlfn.NUMBERVALUE(advaltech_IS!R43)</f>
        <v/>
      </c>
      <c r="R9" s="36">
        <f>_xlfn.NUMBERVALUE(advaltech_IS!S43)</f>
        <v/>
      </c>
      <c r="S9" s="36">
        <f>_xlfn.NUMBERVALUE(advaltech_IS!T43)</f>
        <v/>
      </c>
      <c r="T9" s="36">
        <f>_xlfn.NUMBERVALUE(advaltech_IS!U43)</f>
        <v/>
      </c>
      <c r="U9" s="36">
        <f>_xlfn.NUMBERVALUE(advaltech_IS!V43)</f>
        <v/>
      </c>
      <c r="V9" s="65">
        <f>_xlfn.NUMBERVALUE(advaltech_IS!W43)</f>
        <v/>
      </c>
      <c r="W9" s="65">
        <f>_xlfn.NUMBERVALUE(advaltech_IS!W43)</f>
        <v/>
      </c>
      <c r="X9" s="65">
        <f>_xlfn.NUMBERVALUE(advaltech_IS!X43)</f>
        <v/>
      </c>
      <c r="Y9" s="65">
        <f>_xlfn.NUMBERVALUE(advaltech_IS!Y43)</f>
        <v/>
      </c>
      <c r="Z9" s="65">
        <f>_xlfn.NUMBERVALUE(advaltech_IS!Z43)</f>
        <v/>
      </c>
      <c r="AA9" s="65">
        <f>_xlfn.NUMBERVALUE(advaltech_IS!AA43)</f>
        <v/>
      </c>
      <c r="AB9" s="65">
        <f>_xlfn.NUMBERVALUE(advaltech_IS!AB43)</f>
        <v/>
      </c>
      <c r="AC9" s="65">
        <f>_xlfn.NUMBERVALUE(advaltech_IS!AC43)</f>
        <v/>
      </c>
      <c r="AD9" s="65">
        <f>_xlfn.NUMBERVALUE(advaltech_IS!AD43)</f>
        <v/>
      </c>
      <c r="AE9" s="65">
        <f>_xlfn.NUMBERVALUE(advaltech_IS!AE43)</f>
        <v/>
      </c>
      <c r="AF9" s="65">
        <f>_xlfn.NUMBERVALUE(advaltech_IS!AF43)</f>
        <v/>
      </c>
      <c r="AG9" s="65">
        <f>_xlfn.NUMBERVALUE(advaltech_IS!AG43)</f>
        <v/>
      </c>
      <c r="AH9" s="65">
        <f>_xlfn.NUMBERVALUE(advaltech_IS!AH43)</f>
        <v/>
      </c>
      <c r="AI9" s="65">
        <f>_xlfn.NUMBERVALUE(advaltech_IS!AI43)</f>
        <v/>
      </c>
      <c r="AJ9" s="65">
        <f>_xlfn.NUMBERVALUE(advaltech_IS!AJ43)</f>
        <v/>
      </c>
      <c r="AK9" s="65">
        <f>_xlfn.NUMBERVALUE(advaltech_IS!AK43)</f>
        <v/>
      </c>
      <c r="AL9" s="65">
        <f>_xlfn.NUMBERVALUE(advaltech_IS!AL43)</f>
        <v/>
      </c>
      <c r="AM9" s="65">
        <f>_xlfn.NUMBERVALUE(advaltech_IS!AM43)</f>
        <v/>
      </c>
      <c r="AN9" s="65">
        <f>_xlfn.NUMBERVALUE(advaltech_IS!AN43)</f>
        <v/>
      </c>
      <c r="AO9" s="65">
        <f>_xlfn.NUMBERVALUE(advaltech_IS!AO43)</f>
        <v/>
      </c>
      <c r="AP9" s="65">
        <f>_xlfn.NUMBERVALUE(advaltech_IS!AP43)</f>
        <v/>
      </c>
    </row>
    <row r="10">
      <c r="A10" s="6" t="inlineStr">
        <is>
          <t>NI</t>
        </is>
      </c>
      <c r="C10" s="36">
        <f>_xlfn.NUMBERVALUE(advaltech_IS!D33)</f>
        <v/>
      </c>
      <c r="D10" s="36">
        <f>_xlfn.NUMBERVALUE(advaltech_IS!E32)</f>
        <v/>
      </c>
      <c r="E10" s="36">
        <f>_xlfn.NUMBERVALUE(advaltech_IS!F32)</f>
        <v/>
      </c>
      <c r="F10" s="36">
        <f>_xlfn.NUMBERVALUE(advaltech_IS!G32)</f>
        <v/>
      </c>
      <c r="G10" s="36">
        <f>_xlfn.NUMBERVALUE(advaltech_IS!H32)</f>
        <v/>
      </c>
      <c r="H10" s="36">
        <f>_xlfn.NUMBERVALUE(advaltech_IS!I32)</f>
        <v/>
      </c>
      <c r="I10" s="36">
        <f>_xlfn.NUMBERVALUE(advaltech_IS!J32)</f>
        <v/>
      </c>
      <c r="J10" s="36">
        <f>_xlfn.NUMBERVALUE(advaltech_IS!K32)</f>
        <v/>
      </c>
      <c r="K10" s="36">
        <f>_xlfn.NUMBERVALUE(advaltech_IS!L32)</f>
        <v/>
      </c>
      <c r="L10" s="36">
        <f>_xlfn.NUMBERVALUE(advaltech_IS!M32)</f>
        <v/>
      </c>
      <c r="M10" s="36">
        <f>_xlfn.NUMBERVALUE(advaltech_IS!N32)</f>
        <v/>
      </c>
      <c r="N10" s="36">
        <f>_xlfn.NUMBERVALUE(advaltech_IS!O32)</f>
        <v/>
      </c>
      <c r="O10" s="36">
        <f>_xlfn.NUMBERVALUE(advaltech_IS!P32)</f>
        <v/>
      </c>
      <c r="P10" s="36">
        <f>_xlfn.NUMBERVALUE(advaltech_IS!Q32)</f>
        <v/>
      </c>
      <c r="Q10" s="36">
        <f>_xlfn.NUMBERVALUE(advaltech_IS!R32)</f>
        <v/>
      </c>
      <c r="R10" s="36">
        <f>_xlfn.NUMBERVALUE(advaltech_IS!S32)</f>
        <v/>
      </c>
      <c r="S10" s="36">
        <f>_xlfn.NUMBERVALUE(advaltech_IS!T32)</f>
        <v/>
      </c>
      <c r="T10" s="36">
        <f>_xlfn.NUMBERVALUE(advaltech_IS!U32)</f>
        <v/>
      </c>
      <c r="U10" s="36">
        <f>_xlfn.NUMBERVALUE(advaltech_IS!V32)</f>
        <v/>
      </c>
      <c r="V10" s="65">
        <f>_xlfn.NUMBERVALUE(advaltech_IS!W32)</f>
        <v/>
      </c>
      <c r="W10" s="65">
        <f>_xlfn.NUMBERVALUE(advaltech_IS!W32)</f>
        <v/>
      </c>
      <c r="X10" s="65">
        <f>_xlfn.NUMBERVALUE(advaltech_IS!X32)</f>
        <v/>
      </c>
      <c r="Y10" s="65">
        <f>_xlfn.NUMBERVALUE(advaltech_IS!Y32)</f>
        <v/>
      </c>
      <c r="Z10" s="65">
        <f>_xlfn.NUMBERVALUE(advaltech_IS!Z32)</f>
        <v/>
      </c>
      <c r="AA10" s="65">
        <f>_xlfn.NUMBERVALUE(advaltech_IS!AA32)</f>
        <v/>
      </c>
      <c r="AB10" s="65">
        <f>_xlfn.NUMBERVALUE(advaltech_IS!AB32)</f>
        <v/>
      </c>
      <c r="AC10" s="65">
        <f>_xlfn.NUMBERVALUE(advaltech_IS!AC32)</f>
        <v/>
      </c>
      <c r="AD10" s="65">
        <f>_xlfn.NUMBERVALUE(advaltech_IS!AD32)</f>
        <v/>
      </c>
      <c r="AE10" s="65">
        <f>_xlfn.NUMBERVALUE(advaltech_IS!AE32)</f>
        <v/>
      </c>
      <c r="AF10" s="65">
        <f>_xlfn.NUMBERVALUE(advaltech_IS!AF32)</f>
        <v/>
      </c>
      <c r="AG10" s="65">
        <f>_xlfn.NUMBERVALUE(advaltech_IS!AG32)</f>
        <v/>
      </c>
      <c r="AH10" s="65">
        <f>_xlfn.NUMBERVALUE(advaltech_IS!AH32)</f>
        <v/>
      </c>
      <c r="AI10" s="65">
        <f>_xlfn.NUMBERVALUE(advaltech_IS!AI32)</f>
        <v/>
      </c>
      <c r="AJ10" s="65">
        <f>_xlfn.NUMBERVALUE(advaltech_IS!AJ32)</f>
        <v/>
      </c>
      <c r="AK10" s="65">
        <f>_xlfn.NUMBERVALUE(advaltech_IS!AK32)</f>
        <v/>
      </c>
      <c r="AL10" s="65">
        <f>_xlfn.NUMBERVALUE(advaltech_IS!AL32)</f>
        <v/>
      </c>
      <c r="AM10" s="65">
        <f>_xlfn.NUMBERVALUE(advaltech_IS!AM32)</f>
        <v/>
      </c>
      <c r="AN10" s="65">
        <f>_xlfn.NUMBERVALUE(advaltech_IS!AN32)</f>
        <v/>
      </c>
      <c r="AO10" s="65">
        <f>_xlfn.NUMBERVALUE(advaltech_IS!AO32)</f>
        <v/>
      </c>
      <c r="AP10" s="65">
        <f>_xlfn.NUMBERVALUE(advaltech_IS!AP32)</f>
        <v/>
      </c>
    </row>
    <row r="11"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60" t="n"/>
      <c r="AJ11" s="60" t="n"/>
      <c r="AK11" s="60" t="n"/>
      <c r="AL11" s="60" t="n"/>
      <c r="AM11" s="60" t="n"/>
      <c r="AN11" s="60" t="n"/>
      <c r="AO11" s="60" t="n"/>
      <c r="AP11" s="60" t="n"/>
    </row>
    <row r="12">
      <c r="A12" s="50" t="inlineStr">
        <is>
          <t>Semi-Annually</t>
        </is>
      </c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</row>
    <row r="13">
      <c r="A13" s="6" t="inlineStr">
        <is>
          <t>ROA (EBIT)</t>
        </is>
      </c>
      <c r="D13" s="12">
        <f>D9/D3</f>
        <v/>
      </c>
      <c r="E13" s="12">
        <f>E9/E3</f>
        <v/>
      </c>
      <c r="F13" s="12">
        <f>F9/F3</f>
        <v/>
      </c>
      <c r="G13" s="12">
        <f>G9/G3</f>
        <v/>
      </c>
      <c r="H13" s="12">
        <f>H9/H3</f>
        <v/>
      </c>
      <c r="I13" s="12">
        <f>I9/I3</f>
        <v/>
      </c>
      <c r="J13" s="12">
        <f>J9/J3</f>
        <v/>
      </c>
      <c r="K13" s="12">
        <f>K9/K3</f>
        <v/>
      </c>
      <c r="L13" s="12">
        <f>L9/L3</f>
        <v/>
      </c>
      <c r="M13" s="12">
        <f>M9/M3</f>
        <v/>
      </c>
      <c r="N13" s="12">
        <f>N9/N3</f>
        <v/>
      </c>
      <c r="O13" s="12">
        <f>O9/O3</f>
        <v/>
      </c>
      <c r="P13" s="12">
        <f>P9/P3</f>
        <v/>
      </c>
      <c r="Q13" s="12">
        <f>Q9/Q3</f>
        <v/>
      </c>
      <c r="R13" s="12">
        <f>R9/R3</f>
        <v/>
      </c>
      <c r="S13" s="12">
        <f>S9/S3</f>
        <v/>
      </c>
      <c r="T13" s="12">
        <f>T9/T3</f>
        <v/>
      </c>
      <c r="U13" s="12">
        <f>U9/U3</f>
        <v/>
      </c>
      <c r="V13" s="66">
        <f>V9/V3</f>
        <v/>
      </c>
      <c r="W13" s="66">
        <f>W9/W3</f>
        <v/>
      </c>
      <c r="X13" s="66">
        <f>X9/X3</f>
        <v/>
      </c>
      <c r="Y13" s="66">
        <f>Y9/Y3</f>
        <v/>
      </c>
      <c r="Z13" s="66">
        <f>Z9/Z3</f>
        <v/>
      </c>
      <c r="AA13" s="66">
        <f>AA9/AA3</f>
        <v/>
      </c>
      <c r="AB13" s="66">
        <f>AB9/AB3</f>
        <v/>
      </c>
      <c r="AC13" s="66">
        <f>AC9/AC3</f>
        <v/>
      </c>
      <c r="AD13" s="66">
        <f>AD9/AD3</f>
        <v/>
      </c>
      <c r="AE13" s="66">
        <f>AE9/AE3</f>
        <v/>
      </c>
      <c r="AF13" s="66">
        <f>AF9/AF3</f>
        <v/>
      </c>
      <c r="AG13" s="66">
        <f>AG9/AG3</f>
        <v/>
      </c>
      <c r="AH13" s="66">
        <f>AH9/AH3</f>
        <v/>
      </c>
      <c r="AI13" s="66">
        <f>AI9/AI3</f>
        <v/>
      </c>
      <c r="AJ13" s="66">
        <f>AJ9/AJ3</f>
        <v/>
      </c>
      <c r="AK13" s="66">
        <f>AK9/AK3</f>
        <v/>
      </c>
      <c r="AL13" s="66">
        <f>AL9/AL3</f>
        <v/>
      </c>
      <c r="AM13" s="66">
        <f>AM9/AM3</f>
        <v/>
      </c>
      <c r="AN13" s="66">
        <f>AN9/AN3</f>
        <v/>
      </c>
      <c r="AO13" s="66">
        <f>AO9/AO3</f>
        <v/>
      </c>
      <c r="AP13" s="66">
        <f>AP9/AP3</f>
        <v/>
      </c>
    </row>
    <row r="14">
      <c r="A14" s="6" t="inlineStr">
        <is>
          <t>ROA (NI)</t>
        </is>
      </c>
      <c r="D14" s="12">
        <f>D10/D3</f>
        <v/>
      </c>
      <c r="E14" s="12">
        <f>E10/E3</f>
        <v/>
      </c>
      <c r="F14" s="12">
        <f>F10/F3</f>
        <v/>
      </c>
      <c r="G14" s="12">
        <f>G10/G3</f>
        <v/>
      </c>
      <c r="H14" s="12">
        <f>H10/H3</f>
        <v/>
      </c>
      <c r="I14" s="12">
        <f>I10/I3</f>
        <v/>
      </c>
      <c r="J14" s="12">
        <f>J10/J3</f>
        <v/>
      </c>
      <c r="K14" s="12">
        <f>K10/K3</f>
        <v/>
      </c>
      <c r="L14" s="12">
        <f>L10/L3</f>
        <v/>
      </c>
      <c r="M14" s="12">
        <f>M10/M3</f>
        <v/>
      </c>
      <c r="N14" s="12">
        <f>N10/N3</f>
        <v/>
      </c>
      <c r="O14" s="12">
        <f>O10/O3</f>
        <v/>
      </c>
      <c r="P14" s="12">
        <f>P10/P3</f>
        <v/>
      </c>
      <c r="Q14" s="12">
        <f>Q10/Q3</f>
        <v/>
      </c>
      <c r="R14" s="12">
        <f>R10/R3</f>
        <v/>
      </c>
      <c r="S14" s="12">
        <f>S10/S3</f>
        <v/>
      </c>
      <c r="T14" s="12">
        <f>T10/T3</f>
        <v/>
      </c>
      <c r="U14" s="12">
        <f>U10/U3</f>
        <v/>
      </c>
      <c r="V14" s="66">
        <f>V10/V3</f>
        <v/>
      </c>
      <c r="W14" s="66">
        <f>W10/W3</f>
        <v/>
      </c>
      <c r="X14" s="66">
        <f>X10/X3</f>
        <v/>
      </c>
      <c r="Y14" s="66">
        <f>Y10/Y3</f>
        <v/>
      </c>
      <c r="Z14" s="66">
        <f>Z10/Z3</f>
        <v/>
      </c>
      <c r="AA14" s="66">
        <f>AA10/AA3</f>
        <v/>
      </c>
      <c r="AB14" s="66">
        <f>AB10/AB3</f>
        <v/>
      </c>
      <c r="AC14" s="66">
        <f>AC10/AC3</f>
        <v/>
      </c>
      <c r="AD14" s="66">
        <f>AD10/AD3</f>
        <v/>
      </c>
      <c r="AE14" s="66">
        <f>AE10/AE3</f>
        <v/>
      </c>
      <c r="AF14" s="66">
        <f>AF10/AF3</f>
        <v/>
      </c>
      <c r="AG14" s="66">
        <f>AG10/AG3</f>
        <v/>
      </c>
      <c r="AH14" s="66">
        <f>AH10/AH3</f>
        <v/>
      </c>
      <c r="AI14" s="66">
        <f>AI10/AI3</f>
        <v/>
      </c>
      <c r="AJ14" s="66">
        <f>AJ10/AJ3</f>
        <v/>
      </c>
      <c r="AK14" s="66">
        <f>AK10/AK3</f>
        <v/>
      </c>
      <c r="AL14" s="66">
        <f>AL10/AL3</f>
        <v/>
      </c>
      <c r="AM14" s="66">
        <f>AM10/AM3</f>
        <v/>
      </c>
      <c r="AN14" s="66">
        <f>AN10/AN3</f>
        <v/>
      </c>
      <c r="AO14" s="66">
        <f>AO10/AO3</f>
        <v/>
      </c>
      <c r="AP14" s="66">
        <f>AP10/AP3</f>
        <v/>
      </c>
    </row>
    <row r="15">
      <c r="A15" s="5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</row>
    <row r="16">
      <c r="A16" s="6" t="inlineStr">
        <is>
          <t>ROE (EBIT)</t>
        </is>
      </c>
      <c r="D16" s="12">
        <f>D9/D6</f>
        <v/>
      </c>
      <c r="E16" s="12">
        <f>E9/E6</f>
        <v/>
      </c>
      <c r="F16" s="12">
        <f>F9/F6</f>
        <v/>
      </c>
      <c r="G16" s="12">
        <f>G9/G6</f>
        <v/>
      </c>
      <c r="H16" s="12">
        <f>H9/H6</f>
        <v/>
      </c>
      <c r="I16" s="12">
        <f>I9/I6</f>
        <v/>
      </c>
      <c r="J16" s="12">
        <f>J9/J6</f>
        <v/>
      </c>
      <c r="K16" s="12">
        <f>K9/K6</f>
        <v/>
      </c>
      <c r="L16" s="12">
        <f>L9/L6</f>
        <v/>
      </c>
      <c r="M16" s="12">
        <f>M9/M6</f>
        <v/>
      </c>
      <c r="N16" s="12">
        <f>N9/N6</f>
        <v/>
      </c>
      <c r="O16" s="12">
        <f>O9/O6</f>
        <v/>
      </c>
      <c r="P16" s="12">
        <f>P9/P6</f>
        <v/>
      </c>
      <c r="Q16" s="12">
        <f>Q9/Q6</f>
        <v/>
      </c>
      <c r="R16" s="12">
        <f>R9/R6</f>
        <v/>
      </c>
      <c r="S16" s="12">
        <f>S9/S6</f>
        <v/>
      </c>
      <c r="T16" s="12">
        <f>T9/T6</f>
        <v/>
      </c>
      <c r="U16" s="12">
        <f>U9/U6</f>
        <v/>
      </c>
      <c r="V16" s="66">
        <f>V9/V6</f>
        <v/>
      </c>
      <c r="W16" s="66">
        <f>W9/W6</f>
        <v/>
      </c>
      <c r="X16" s="66">
        <f>X9/X6</f>
        <v/>
      </c>
      <c r="Y16" s="66">
        <f>Y9/Y6</f>
        <v/>
      </c>
      <c r="Z16" s="66">
        <f>Z9/Z6</f>
        <v/>
      </c>
      <c r="AA16" s="66">
        <f>AA9/AA6</f>
        <v/>
      </c>
      <c r="AB16" s="66">
        <f>AB9/AB6</f>
        <v/>
      </c>
      <c r="AC16" s="66">
        <f>AC9/AC6</f>
        <v/>
      </c>
      <c r="AD16" s="66">
        <f>AD9/AD6</f>
        <v/>
      </c>
      <c r="AE16" s="66">
        <f>AE9/AE6</f>
        <v/>
      </c>
      <c r="AF16" s="66">
        <f>AF9/AF6</f>
        <v/>
      </c>
      <c r="AG16" s="66">
        <f>AG9/AG6</f>
        <v/>
      </c>
      <c r="AH16" s="66">
        <f>AH9/AH6</f>
        <v/>
      </c>
      <c r="AI16" s="66">
        <f>AI9/AI6</f>
        <v/>
      </c>
      <c r="AJ16" s="66">
        <f>AJ9/AJ6</f>
        <v/>
      </c>
      <c r="AK16" s="66">
        <f>AK9/AK6</f>
        <v/>
      </c>
      <c r="AL16" s="66">
        <f>AL9/AL6</f>
        <v/>
      </c>
      <c r="AM16" s="66">
        <f>AM9/AM6</f>
        <v/>
      </c>
      <c r="AN16" s="66">
        <f>AN9/AN6</f>
        <v/>
      </c>
      <c r="AO16" s="66">
        <f>AO9/AO6</f>
        <v/>
      </c>
      <c r="AP16" s="66">
        <f>AP9/AP6</f>
        <v/>
      </c>
    </row>
    <row r="17">
      <c r="A17" s="6" t="inlineStr">
        <is>
          <t>ROE (NI)</t>
        </is>
      </c>
      <c r="D17" s="12">
        <f>D10/D6</f>
        <v/>
      </c>
      <c r="E17" s="12">
        <f>E10/E6</f>
        <v/>
      </c>
      <c r="F17" s="12">
        <f>F10/F6</f>
        <v/>
      </c>
      <c r="G17" s="12">
        <f>G10/G6</f>
        <v/>
      </c>
      <c r="H17" s="12">
        <f>H10/H6</f>
        <v/>
      </c>
      <c r="I17" s="12">
        <f>I10/I6</f>
        <v/>
      </c>
      <c r="J17" s="12">
        <f>J10/J6</f>
        <v/>
      </c>
      <c r="K17" s="12">
        <f>K10/K6</f>
        <v/>
      </c>
      <c r="L17" s="12">
        <f>L10/L6</f>
        <v/>
      </c>
      <c r="M17" s="12">
        <f>M10/M6</f>
        <v/>
      </c>
      <c r="N17" s="12">
        <f>N10/N6</f>
        <v/>
      </c>
      <c r="O17" s="12">
        <f>O10/O6</f>
        <v/>
      </c>
      <c r="P17" s="12">
        <f>P10/P6</f>
        <v/>
      </c>
      <c r="Q17" s="12">
        <f>Q10/Q6</f>
        <v/>
      </c>
      <c r="R17" s="12">
        <f>R10/R6</f>
        <v/>
      </c>
      <c r="S17" s="12">
        <f>S10/S6</f>
        <v/>
      </c>
      <c r="T17" s="12">
        <f>T10/T6</f>
        <v/>
      </c>
      <c r="U17" s="12">
        <f>U10/U6</f>
        <v/>
      </c>
      <c r="V17" s="66">
        <f>V10/V6</f>
        <v/>
      </c>
      <c r="W17" s="66">
        <f>W10/W6</f>
        <v/>
      </c>
      <c r="X17" s="66">
        <f>X10/X6</f>
        <v/>
      </c>
      <c r="Y17" s="66">
        <f>Y10/Y6</f>
        <v/>
      </c>
      <c r="Z17" s="66">
        <f>Z10/Z6</f>
        <v/>
      </c>
      <c r="AA17" s="66">
        <f>AA10/AA6</f>
        <v/>
      </c>
      <c r="AB17" s="66">
        <f>AB10/AB6</f>
        <v/>
      </c>
      <c r="AC17" s="66">
        <f>AC10/AC6</f>
        <v/>
      </c>
      <c r="AD17" s="66">
        <f>AD10/AD6</f>
        <v/>
      </c>
      <c r="AE17" s="66">
        <f>AE10/AE6</f>
        <v/>
      </c>
      <c r="AF17" s="66">
        <f>AF10/AF6</f>
        <v/>
      </c>
      <c r="AG17" s="66">
        <f>AG10/AG6</f>
        <v/>
      </c>
      <c r="AH17" s="66">
        <f>AH10/AH6</f>
        <v/>
      </c>
      <c r="AI17" s="66">
        <f>AI10/AI6</f>
        <v/>
      </c>
      <c r="AJ17" s="66">
        <f>AJ10/AJ6</f>
        <v/>
      </c>
      <c r="AK17" s="66">
        <f>AK10/AK6</f>
        <v/>
      </c>
      <c r="AL17" s="66">
        <f>AL10/AL6</f>
        <v/>
      </c>
      <c r="AM17" s="66">
        <f>AM10/AM6</f>
        <v/>
      </c>
      <c r="AN17" s="66">
        <f>AN10/AN6</f>
        <v/>
      </c>
      <c r="AO17" s="66">
        <f>AO10/AO6</f>
        <v/>
      </c>
      <c r="AP17" s="66">
        <f>AP10/AP6</f>
        <v/>
      </c>
    </row>
    <row r="18"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0" t="n"/>
      <c r="AI18" s="60" t="n"/>
      <c r="AJ18" s="60" t="n"/>
      <c r="AK18" s="60" t="n"/>
      <c r="AL18" s="60" t="n"/>
      <c r="AM18" s="60" t="n"/>
      <c r="AN18" s="60" t="n"/>
      <c r="AO18" s="60" t="n"/>
      <c r="AP18" s="60" t="n"/>
    </row>
    <row r="19" ht="15" customHeight="1" s="73">
      <c r="A19" s="16" t="inlineStr">
        <is>
          <t>Annualized</t>
        </is>
      </c>
      <c r="V19" s="60" t="n"/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0" t="n"/>
      <c r="AF19" s="60" t="n"/>
      <c r="AG19" s="60" t="n"/>
      <c r="AH19" s="60" t="n"/>
      <c r="AI19" s="60" t="n"/>
      <c r="AJ19" s="60" t="n"/>
      <c r="AK19" s="60" t="n"/>
      <c r="AL19" s="60" t="n"/>
      <c r="AM19" s="60" t="n"/>
      <c r="AN19" s="60" t="n"/>
      <c r="AO19" s="60" t="n"/>
      <c r="AP19" s="60" t="n"/>
    </row>
    <row r="20">
      <c r="A20" s="6" t="inlineStr">
        <is>
          <t>ROA (EBIT)</t>
        </is>
      </c>
      <c r="C20" s="12" t="n"/>
      <c r="D20" s="12">
        <f>D13*2</f>
        <v/>
      </c>
      <c r="E20" s="12">
        <f>E13*2</f>
        <v/>
      </c>
      <c r="F20" s="12">
        <f>F13*2</f>
        <v/>
      </c>
      <c r="G20" s="12">
        <f>G13*2</f>
        <v/>
      </c>
      <c r="H20" s="12">
        <f>H13*2</f>
        <v/>
      </c>
      <c r="I20" s="12">
        <f>I13*2</f>
        <v/>
      </c>
      <c r="J20" s="12">
        <f>J13*2</f>
        <v/>
      </c>
      <c r="K20" s="12">
        <f>K13*2</f>
        <v/>
      </c>
      <c r="L20" s="12">
        <f>L13*2</f>
        <v/>
      </c>
      <c r="M20" s="12">
        <f>M13*2</f>
        <v/>
      </c>
      <c r="N20" s="12">
        <f>N13*2</f>
        <v/>
      </c>
      <c r="O20" s="12">
        <f>O13*2</f>
        <v/>
      </c>
      <c r="P20" s="12">
        <f>P13*2</f>
        <v/>
      </c>
      <c r="Q20" s="12">
        <f>Q13*2</f>
        <v/>
      </c>
      <c r="R20" s="12">
        <f>R13*2</f>
        <v/>
      </c>
      <c r="S20" s="12">
        <f>S13*2</f>
        <v/>
      </c>
      <c r="T20" s="12">
        <f>T13*2</f>
        <v/>
      </c>
      <c r="U20" s="12">
        <f>U13*2</f>
        <v/>
      </c>
      <c r="V20" s="66">
        <f>V13*2</f>
        <v/>
      </c>
      <c r="W20" s="66">
        <f>W13*2</f>
        <v/>
      </c>
      <c r="X20" s="66">
        <f>X13*2</f>
        <v/>
      </c>
      <c r="Y20" s="66">
        <f>Y13*2</f>
        <v/>
      </c>
      <c r="Z20" s="66">
        <f>Z13*2</f>
        <v/>
      </c>
      <c r="AA20" s="66">
        <f>AA13*2</f>
        <v/>
      </c>
      <c r="AB20" s="66">
        <f>AB13*2</f>
        <v/>
      </c>
      <c r="AC20" s="66">
        <f>AC13*2</f>
        <v/>
      </c>
      <c r="AD20" s="66">
        <f>AD13*2</f>
        <v/>
      </c>
      <c r="AE20" s="66">
        <f>AE13*2</f>
        <v/>
      </c>
      <c r="AF20" s="66">
        <f>AF13*2</f>
        <v/>
      </c>
      <c r="AG20" s="66">
        <f>AG13*2</f>
        <v/>
      </c>
      <c r="AH20" s="66">
        <f>AH13*2</f>
        <v/>
      </c>
      <c r="AI20" s="66">
        <f>AI13*2</f>
        <v/>
      </c>
      <c r="AJ20" s="66">
        <f>AJ13*2</f>
        <v/>
      </c>
      <c r="AK20" s="66">
        <f>AK13*2</f>
        <v/>
      </c>
      <c r="AL20" s="66">
        <f>AL13*2</f>
        <v/>
      </c>
      <c r="AM20" s="66">
        <f>AM13*2</f>
        <v/>
      </c>
      <c r="AN20" s="66">
        <f>AN13*2</f>
        <v/>
      </c>
      <c r="AO20" s="66">
        <f>AO13*2</f>
        <v/>
      </c>
      <c r="AP20" s="66">
        <f>AP13*2</f>
        <v/>
      </c>
    </row>
    <row r="21">
      <c r="A21" s="6" t="inlineStr">
        <is>
          <t>ROA (NI)</t>
        </is>
      </c>
      <c r="C21" s="12" t="n"/>
      <c r="D21" s="12">
        <f>D14*2</f>
        <v/>
      </c>
      <c r="E21" s="12">
        <f>E14*2</f>
        <v/>
      </c>
      <c r="F21" s="12">
        <f>F14*2</f>
        <v/>
      </c>
      <c r="G21" s="12">
        <f>G14*2</f>
        <v/>
      </c>
      <c r="H21" s="12">
        <f>H14*2</f>
        <v/>
      </c>
      <c r="I21" s="12">
        <f>I14*2</f>
        <v/>
      </c>
      <c r="J21" s="12">
        <f>J14*2</f>
        <v/>
      </c>
      <c r="K21" s="12">
        <f>K14*2</f>
        <v/>
      </c>
      <c r="L21" s="12">
        <f>L14*2</f>
        <v/>
      </c>
      <c r="M21" s="12">
        <f>M14*2</f>
        <v/>
      </c>
      <c r="N21" s="12">
        <f>N14*2</f>
        <v/>
      </c>
      <c r="O21" s="12">
        <f>O14*2</f>
        <v/>
      </c>
      <c r="P21" s="12">
        <f>P14*2</f>
        <v/>
      </c>
      <c r="Q21" s="12">
        <f>Q14*2</f>
        <v/>
      </c>
      <c r="R21" s="12">
        <f>R14*2</f>
        <v/>
      </c>
      <c r="S21" s="12">
        <f>S14*2</f>
        <v/>
      </c>
      <c r="T21" s="12">
        <f>T14*2</f>
        <v/>
      </c>
      <c r="U21" s="12">
        <f>U14*2</f>
        <v/>
      </c>
      <c r="V21" s="66">
        <f>V14*2</f>
        <v/>
      </c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</row>
    <row r="22"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</row>
    <row r="23">
      <c r="A23" s="6" t="inlineStr">
        <is>
          <t>ROE (EBIT)</t>
        </is>
      </c>
      <c r="D23" s="12">
        <f>D16*2</f>
        <v/>
      </c>
      <c r="E23" s="12">
        <f>E16*2</f>
        <v/>
      </c>
      <c r="F23" s="12">
        <f>F16*2</f>
        <v/>
      </c>
      <c r="G23" s="12">
        <f>G16*2</f>
        <v/>
      </c>
      <c r="H23" s="12">
        <f>H16*2</f>
        <v/>
      </c>
      <c r="I23" s="12">
        <f>I16*2</f>
        <v/>
      </c>
      <c r="J23" s="12">
        <f>J16*2</f>
        <v/>
      </c>
      <c r="K23" s="12">
        <f>K16*2</f>
        <v/>
      </c>
      <c r="L23" s="12">
        <f>L16*2</f>
        <v/>
      </c>
      <c r="M23" s="12">
        <f>M16*2</f>
        <v/>
      </c>
      <c r="N23" s="12">
        <f>N16*2</f>
        <v/>
      </c>
      <c r="O23" s="12">
        <f>O16*2</f>
        <v/>
      </c>
      <c r="P23" s="12">
        <f>P16*2</f>
        <v/>
      </c>
      <c r="Q23" s="12">
        <f>Q16*2</f>
        <v/>
      </c>
      <c r="R23" s="12">
        <f>R16*2</f>
        <v/>
      </c>
      <c r="S23" s="12">
        <f>S16*2</f>
        <v/>
      </c>
      <c r="T23" s="12">
        <f>T16*2</f>
        <v/>
      </c>
      <c r="U23" s="12">
        <f>U16*2</f>
        <v/>
      </c>
      <c r="V23" s="66">
        <f>V16*2</f>
        <v/>
      </c>
      <c r="W23" s="66">
        <f>W16*2</f>
        <v/>
      </c>
      <c r="X23" s="66">
        <f>X16*2</f>
        <v/>
      </c>
      <c r="Y23" s="66">
        <f>Y16*2</f>
        <v/>
      </c>
      <c r="Z23" s="66">
        <f>Z16*2</f>
        <v/>
      </c>
      <c r="AA23" s="66">
        <f>AA16*2</f>
        <v/>
      </c>
      <c r="AB23" s="66">
        <f>AB16*2</f>
        <v/>
      </c>
      <c r="AC23" s="66">
        <f>AC16*2</f>
        <v/>
      </c>
      <c r="AD23" s="66">
        <f>AD16*2</f>
        <v/>
      </c>
      <c r="AE23" s="66">
        <f>AE16*2</f>
        <v/>
      </c>
      <c r="AF23" s="66">
        <f>AF16*2</f>
        <v/>
      </c>
      <c r="AG23" s="66">
        <f>AG16*2</f>
        <v/>
      </c>
      <c r="AH23" s="66">
        <f>AH16*2</f>
        <v/>
      </c>
      <c r="AI23" s="66">
        <f>AI16*2</f>
        <v/>
      </c>
      <c r="AJ23" s="66">
        <f>AJ16*2</f>
        <v/>
      </c>
      <c r="AK23" s="66">
        <f>AK16*2</f>
        <v/>
      </c>
      <c r="AL23" s="66">
        <f>AL16*2</f>
        <v/>
      </c>
      <c r="AM23" s="66">
        <f>AM16*2</f>
        <v/>
      </c>
      <c r="AN23" s="66">
        <f>AN16*2</f>
        <v/>
      </c>
      <c r="AO23" s="66">
        <f>AO16*2</f>
        <v/>
      </c>
      <c r="AP23" s="66">
        <f>AP16*2</f>
        <v/>
      </c>
    </row>
    <row r="24">
      <c r="A24" s="6" t="inlineStr">
        <is>
          <t>ROE (NI)</t>
        </is>
      </c>
      <c r="D24" s="12">
        <f>D17*2</f>
        <v/>
      </c>
      <c r="E24" s="12">
        <f>E17*2</f>
        <v/>
      </c>
      <c r="F24" s="12">
        <f>F17*2</f>
        <v/>
      </c>
      <c r="G24" s="12">
        <f>G17*2</f>
        <v/>
      </c>
      <c r="H24" s="12">
        <f>H17*2</f>
        <v/>
      </c>
      <c r="I24" s="12">
        <f>I17*2</f>
        <v/>
      </c>
      <c r="J24" s="12">
        <f>J17*2</f>
        <v/>
      </c>
      <c r="K24" s="12">
        <f>K17*2</f>
        <v/>
      </c>
      <c r="L24" s="12">
        <f>L17*2</f>
        <v/>
      </c>
      <c r="M24" s="12">
        <f>M17*2</f>
        <v/>
      </c>
      <c r="N24" s="12">
        <f>N17*2</f>
        <v/>
      </c>
      <c r="O24" s="12">
        <f>O17*2</f>
        <v/>
      </c>
      <c r="P24" s="12">
        <f>P17*2</f>
        <v/>
      </c>
      <c r="Q24" s="12">
        <f>Q17*2</f>
        <v/>
      </c>
      <c r="R24" s="12">
        <f>R17*2</f>
        <v/>
      </c>
      <c r="S24" s="12">
        <f>S17*2</f>
        <v/>
      </c>
      <c r="T24" s="12">
        <f>T17*2</f>
        <v/>
      </c>
      <c r="U24" s="12">
        <f>U17*2</f>
        <v/>
      </c>
      <c r="V24" s="66">
        <f>V17*2</f>
        <v/>
      </c>
      <c r="W24" s="66">
        <f>W17*2</f>
        <v/>
      </c>
      <c r="X24" s="66">
        <f>X17*2</f>
        <v/>
      </c>
      <c r="Y24" s="66">
        <f>Y17*2</f>
        <v/>
      </c>
      <c r="Z24" s="66">
        <f>Z17*2</f>
        <v/>
      </c>
      <c r="AA24" s="66">
        <f>AA17*2</f>
        <v/>
      </c>
      <c r="AB24" s="66">
        <f>AB17*2</f>
        <v/>
      </c>
      <c r="AC24" s="66">
        <f>AC17*2</f>
        <v/>
      </c>
      <c r="AD24" s="66">
        <f>AD17*2</f>
        <v/>
      </c>
      <c r="AE24" s="66">
        <f>AE17*2</f>
        <v/>
      </c>
      <c r="AF24" s="66">
        <f>AF17*2</f>
        <v/>
      </c>
      <c r="AG24" s="66">
        <f>AG17*2</f>
        <v/>
      </c>
      <c r="AH24" s="66">
        <f>AH17*2</f>
        <v/>
      </c>
      <c r="AI24" s="66">
        <f>AI17*2</f>
        <v/>
      </c>
      <c r="AJ24" s="66">
        <f>AJ17*2</f>
        <v/>
      </c>
      <c r="AK24" s="66">
        <f>AK17*2</f>
        <v/>
      </c>
      <c r="AL24" s="66">
        <f>AL17*2</f>
        <v/>
      </c>
      <c r="AM24" s="66">
        <f>AM17*2</f>
        <v/>
      </c>
      <c r="AN24" s="66">
        <f>AN17*2</f>
        <v/>
      </c>
      <c r="AO24" s="66">
        <f>AO17*2</f>
        <v/>
      </c>
      <c r="AP24" s="66">
        <f>AP17*2</f>
        <v/>
      </c>
    </row>
    <row r="25" ht="15" customHeight="1" s="73">
      <c r="A25" s="16" t="n"/>
      <c r="V25" s="60" t="n"/>
      <c r="W25" s="60" t="n"/>
      <c r="X25" s="60" t="n"/>
      <c r="Y25" s="60" t="n"/>
      <c r="Z25" s="60" t="n"/>
      <c r="AA25" s="60" t="n"/>
      <c r="AB25" s="60" t="n"/>
      <c r="AC25" s="60" t="n"/>
      <c r="AD25" s="60" t="n"/>
      <c r="AE25" s="60" t="n"/>
      <c r="AF25" s="60" t="n"/>
      <c r="AG25" s="60" t="n"/>
      <c r="AH25" s="60" t="n"/>
      <c r="AI25" s="60" t="n"/>
      <c r="AJ25" s="60" t="n"/>
      <c r="AK25" s="60" t="n"/>
      <c r="AL25" s="60" t="n"/>
      <c r="AM25" s="60" t="n"/>
      <c r="AN25" s="60" t="n"/>
      <c r="AO25" s="60" t="n"/>
      <c r="AP25" s="60" t="n"/>
    </row>
    <row r="26" ht="15" customHeight="1" s="73">
      <c r="A26" s="16" t="inlineStr">
        <is>
          <t>TTM</t>
        </is>
      </c>
      <c r="V26" s="6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  <c r="AF26" s="60" t="n"/>
      <c r="AG26" s="60" t="n"/>
      <c r="AH26" s="60" t="n"/>
      <c r="AI26" s="60" t="n"/>
      <c r="AJ26" s="60" t="n"/>
      <c r="AK26" s="60" t="n"/>
      <c r="AL26" s="60" t="n"/>
      <c r="AM26" s="60" t="n"/>
      <c r="AN26" s="60" t="n"/>
      <c r="AO26" s="60" t="n"/>
      <c r="AP26" s="60" t="n"/>
    </row>
    <row r="27">
      <c r="A27" s="6" t="inlineStr">
        <is>
          <t>ROA (EBIT)</t>
        </is>
      </c>
      <c r="C27" s="12" t="n"/>
      <c r="D27" s="12" t="n"/>
      <c r="E27" s="12" t="n"/>
      <c r="F27" s="12" t="n"/>
      <c r="G27" s="52">
        <f>SUM(F9:G9)/AVERAGE(E2,G2)</f>
        <v/>
      </c>
      <c r="H27" s="52">
        <f>SUM(G9:H9)/AVERAGE(F2,H2)</f>
        <v/>
      </c>
      <c r="I27" s="52">
        <f>SUM(H9:I9)/AVERAGE(G2,I2)</f>
        <v/>
      </c>
      <c r="J27" s="52">
        <f>SUM(I9:J9)/AVERAGE(H2,J2)</f>
        <v/>
      </c>
      <c r="K27" s="52">
        <f>SUM(J9:K9)/AVERAGE(I2,K2)</f>
        <v/>
      </c>
      <c r="L27" s="52">
        <f>SUM(K9:L9)/AVERAGE(J2,L2)</f>
        <v/>
      </c>
      <c r="M27" s="52">
        <f>SUM(L9:M9)/AVERAGE(K2,M2)</f>
        <v/>
      </c>
      <c r="N27" s="52">
        <f>SUM(M9:N9)/AVERAGE(L2,N2)</f>
        <v/>
      </c>
      <c r="O27" s="52">
        <f>SUM(N9:O9)/AVERAGE(M2,O2)</f>
        <v/>
      </c>
      <c r="P27" s="52">
        <f>SUM(O9:P9)/AVERAGE(N2,P2)</f>
        <v/>
      </c>
      <c r="Q27" s="52">
        <f>SUM(P9:Q9)/AVERAGE(O2,Q2)</f>
        <v/>
      </c>
      <c r="R27" s="52">
        <f>SUM(Q9:R9)/AVERAGE(P2,R2)</f>
        <v/>
      </c>
      <c r="S27" s="52">
        <f>SUM(R9:S9)/AVERAGE(Q2,S2)</f>
        <v/>
      </c>
      <c r="T27" s="52">
        <f>SUM(S9:T9)/AVERAGE(R2,T2)</f>
        <v/>
      </c>
      <c r="U27" s="52">
        <f>SUM(T9:U9)/AVERAGE(S2,U2)</f>
        <v/>
      </c>
      <c r="V27" s="67">
        <f>SUM(U9:V9)/AVERAGE(T2,V2)</f>
        <v/>
      </c>
      <c r="W27" s="67">
        <f>SUM(V9:W9)/AVERAGE(U2,W2)</f>
        <v/>
      </c>
      <c r="X27" s="67">
        <f>SUM(W9:X9)/AVERAGE(V2,X2)</f>
        <v/>
      </c>
      <c r="Y27" s="67">
        <f>SUM(X9:Y9)/AVERAGE(W2,Y2)</f>
        <v/>
      </c>
      <c r="Z27" s="67">
        <f>SUM(Y9:Z9)/AVERAGE(X2,Z2)</f>
        <v/>
      </c>
      <c r="AA27" s="67">
        <f>SUM(Z9:AA9)/AVERAGE(Y2,AA2)</f>
        <v/>
      </c>
      <c r="AB27" s="67">
        <f>SUM(AA9:AB9)/AVERAGE(Z2,AB2)</f>
        <v/>
      </c>
      <c r="AC27" s="67">
        <f>SUM(AB9:AC9)/AVERAGE(AA2,AC2)</f>
        <v/>
      </c>
      <c r="AD27" s="67">
        <f>SUM(AC9:AD9)/AVERAGE(AB2,AD2)</f>
        <v/>
      </c>
      <c r="AE27" s="67">
        <f>SUM(AD9:AE9)/AVERAGE(AC2,AE2)</f>
        <v/>
      </c>
      <c r="AF27" s="67">
        <f>SUM(AE9:AF9)/AVERAGE(AD2,AF2)</f>
        <v/>
      </c>
      <c r="AG27" s="67">
        <f>SUM(AF9:AG9)/AVERAGE(AE2,AG2)</f>
        <v/>
      </c>
      <c r="AH27" s="67">
        <f>SUM(AG9:AH9)/AVERAGE(AF2,AH2)</f>
        <v/>
      </c>
      <c r="AI27" s="67">
        <f>SUM(AH9:AI9)/AVERAGE(AG2,AI2)</f>
        <v/>
      </c>
      <c r="AJ27" s="67">
        <f>SUM(AI9:AJ9)/AVERAGE(AH2,AJ2)</f>
        <v/>
      </c>
      <c r="AK27" s="67">
        <f>SUM(AJ9:AK9)/AVERAGE(AI2,AK2)</f>
        <v/>
      </c>
      <c r="AL27" s="67">
        <f>SUM(AK9:AL9)/AVERAGE(AJ2,AL2)</f>
        <v/>
      </c>
      <c r="AM27" s="67">
        <f>SUM(AL9:AM9)/AVERAGE(AK2,AM2)</f>
        <v/>
      </c>
      <c r="AN27" s="67">
        <f>SUM(AM9:AN9)/AVERAGE(AL2,AN2)</f>
        <v/>
      </c>
      <c r="AO27" s="67">
        <f>SUM(AN9:AO9)/AVERAGE(AM2,AO2)</f>
        <v/>
      </c>
      <c r="AP27" s="67">
        <f>SUM(AO9:AP9)/AVERAGE(AN2,AP2)</f>
        <v/>
      </c>
    </row>
    <row r="28">
      <c r="A28" s="6" t="inlineStr">
        <is>
          <t>ROA (NI)</t>
        </is>
      </c>
      <c r="C28" s="12" t="n"/>
      <c r="D28" s="12" t="n"/>
      <c r="E28" s="12" t="n"/>
      <c r="F28" s="12" t="n"/>
      <c r="G28" s="12">
        <f>SUM(F10:G10)/AVERAGE(E2,G2)</f>
        <v/>
      </c>
      <c r="H28" s="12">
        <f>SUM(G10:H10)/AVERAGE(F2,H2)</f>
        <v/>
      </c>
      <c r="I28" s="12">
        <f>SUM(H10:I10)/AVERAGE(G2,I2)</f>
        <v/>
      </c>
      <c r="J28" s="12">
        <f>SUM(I10:J10)/AVERAGE(H2,J2)</f>
        <v/>
      </c>
      <c r="K28" s="12">
        <f>SUM(J10:K10)/AVERAGE(I2,K2)</f>
        <v/>
      </c>
      <c r="L28" s="12">
        <f>SUM(K10:L10)/AVERAGE(J2,L2)</f>
        <v/>
      </c>
      <c r="M28" s="12">
        <f>SUM(L10:M10)/AVERAGE(K2,M2)</f>
        <v/>
      </c>
      <c r="N28" s="12">
        <f>SUM(M10:N10)/AVERAGE(L2,N2)</f>
        <v/>
      </c>
      <c r="O28" s="12">
        <f>SUM(N10:O10)/AVERAGE(M2,O2)</f>
        <v/>
      </c>
      <c r="P28" s="12">
        <f>SUM(O10:P10)/AVERAGE(N2,P2)</f>
        <v/>
      </c>
      <c r="Q28" s="12">
        <f>SUM(P10:Q10)/AVERAGE(O2,Q2)</f>
        <v/>
      </c>
      <c r="R28" s="12">
        <f>SUM(Q10:R10)/AVERAGE(P2,R2)</f>
        <v/>
      </c>
      <c r="S28" s="12">
        <f>SUM(R10:S10)/AVERAGE(Q2,S2)</f>
        <v/>
      </c>
      <c r="T28" s="12">
        <f>SUM(S10:T10)/AVERAGE(R2,T2)</f>
        <v/>
      </c>
      <c r="U28" s="12">
        <f>SUM(T10:U10)/AVERAGE(S2,U2)</f>
        <v/>
      </c>
      <c r="V28" s="66">
        <f>SUM(U10:V10)/AVERAGE(T2,V2)</f>
        <v/>
      </c>
      <c r="W28" s="66">
        <f>SUM(V10:W10)/AVERAGE(U2,W2)</f>
        <v/>
      </c>
      <c r="X28" s="66">
        <f>SUM(W10:X10)/AVERAGE(V2,X2)</f>
        <v/>
      </c>
      <c r="Y28" s="66">
        <f>SUM(X10:Y10)/AVERAGE(W2,Y2)</f>
        <v/>
      </c>
      <c r="Z28" s="66">
        <f>SUM(Y10:Z10)/AVERAGE(X2,Z2)</f>
        <v/>
      </c>
      <c r="AA28" s="66">
        <f>SUM(Z10:AA10)/AVERAGE(Y2,AA2)</f>
        <v/>
      </c>
      <c r="AB28" s="66">
        <f>SUM(AA10:AB10)/AVERAGE(Z2,AB2)</f>
        <v/>
      </c>
      <c r="AC28" s="66">
        <f>SUM(AB10:AC10)/AVERAGE(AA2,AC2)</f>
        <v/>
      </c>
      <c r="AD28" s="66">
        <f>SUM(AC10:AD10)/AVERAGE(AB2,AD2)</f>
        <v/>
      </c>
      <c r="AE28" s="66">
        <f>SUM(AD10:AE10)/AVERAGE(AC2,AE2)</f>
        <v/>
      </c>
      <c r="AF28" s="66">
        <f>SUM(AE10:AF10)/AVERAGE(AD2,AF2)</f>
        <v/>
      </c>
      <c r="AG28" s="66">
        <f>SUM(AF10:AG10)/AVERAGE(AE2,AG2)</f>
        <v/>
      </c>
      <c r="AH28" s="66">
        <f>SUM(AG10:AH10)/AVERAGE(AF2,AH2)</f>
        <v/>
      </c>
      <c r="AI28" s="66">
        <f>SUM(AH10:AI10)/AVERAGE(AG2,AI2)</f>
        <v/>
      </c>
      <c r="AJ28" s="66">
        <f>SUM(AI10:AJ10)/AVERAGE(AH2,AJ2)</f>
        <v/>
      </c>
      <c r="AK28" s="66">
        <f>SUM(AJ10:AK10)/AVERAGE(AI2,AK2)</f>
        <v/>
      </c>
      <c r="AL28" s="66">
        <f>SUM(AK10:AL10)/AVERAGE(AJ2,AL2)</f>
        <v/>
      </c>
      <c r="AM28" s="66">
        <f>SUM(AL10:AM10)/AVERAGE(AK2,AM2)</f>
        <v/>
      </c>
      <c r="AN28" s="66">
        <f>SUM(AM10:AN10)/AVERAGE(AL2,AN2)</f>
        <v/>
      </c>
      <c r="AO28" s="66">
        <f>SUM(AN10:AO10)/AVERAGE(AM2,AO2)</f>
        <v/>
      </c>
      <c r="AP28" s="66">
        <f>SUM(AO10:AP10)/AVERAGE(AN2,AP2)</f>
        <v/>
      </c>
    </row>
    <row r="29"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60" t="n"/>
      <c r="AG29" s="60" t="n"/>
      <c r="AH29" s="60" t="n"/>
      <c r="AI29" s="60" t="n"/>
      <c r="AJ29" s="60" t="n"/>
      <c r="AK29" s="60" t="n"/>
      <c r="AL29" s="60" t="n"/>
      <c r="AM29" s="60" t="n"/>
      <c r="AN29" s="60" t="n"/>
      <c r="AO29" s="60" t="n"/>
      <c r="AP29" s="60" t="n"/>
    </row>
    <row r="30">
      <c r="A30" s="6" t="inlineStr">
        <is>
          <t>ROE (EBIT)</t>
        </is>
      </c>
      <c r="F30" s="51" t="n"/>
      <c r="G30" s="12">
        <f>SUM(F9:G9)/AVERAGE(E5,G5)</f>
        <v/>
      </c>
      <c r="H30" s="12">
        <f>SUM(G9:H9)/AVERAGE(F5,H5)</f>
        <v/>
      </c>
      <c r="I30" s="12">
        <f>SUM(H9:I9)/AVERAGE(G5,I5)</f>
        <v/>
      </c>
      <c r="J30" s="12">
        <f>SUM(I9:J9)/AVERAGE(H5,J5)</f>
        <v/>
      </c>
      <c r="K30" s="12">
        <f>SUM(J9:K9)/AVERAGE(I5,K5)</f>
        <v/>
      </c>
      <c r="L30" s="12">
        <f>SUM(K9:L9)/AVERAGE(J5,L5)</f>
        <v/>
      </c>
      <c r="M30" s="12">
        <f>SUM(L9:M9)/AVERAGE(K5,M5)</f>
        <v/>
      </c>
      <c r="N30" s="12">
        <f>SUM(M9:N9)/AVERAGE(L5,N5)</f>
        <v/>
      </c>
      <c r="O30" s="12">
        <f>SUM(N9:O9)/AVERAGE(M5,O5)</f>
        <v/>
      </c>
      <c r="P30" s="12">
        <f>SUM(O9:P9)/AVERAGE(N5,P5)</f>
        <v/>
      </c>
      <c r="Q30" s="12">
        <f>SUM(P9:Q9)/AVERAGE(O5,Q5)</f>
        <v/>
      </c>
      <c r="R30" s="12">
        <f>SUM(Q9:R9)/AVERAGE(P5,R5)</f>
        <v/>
      </c>
      <c r="S30" s="12">
        <f>SUM(R9:S9)/AVERAGE(Q5,S5)</f>
        <v/>
      </c>
      <c r="T30" s="12">
        <f>SUM(S9:T9)/AVERAGE(R5,T5)</f>
        <v/>
      </c>
      <c r="U30" s="12">
        <f>SUM(T9:U9)/AVERAGE(S5,U5)</f>
        <v/>
      </c>
      <c r="V30" s="66">
        <f>SUM(U9:V9)/AVERAGE(T5,V5)</f>
        <v/>
      </c>
      <c r="W30" s="66">
        <f>SUM(V9:W9)/AVERAGE(U5,W5)</f>
        <v/>
      </c>
      <c r="X30" s="66">
        <f>SUM(W9:X9)/AVERAGE(V5,X5)</f>
        <v/>
      </c>
      <c r="Y30" s="66">
        <f>SUM(X9:Y9)/AVERAGE(W5,Y5)</f>
        <v/>
      </c>
      <c r="Z30" s="66">
        <f>SUM(Y9:Z9)/AVERAGE(X5,Z5)</f>
        <v/>
      </c>
      <c r="AA30" s="66">
        <f>SUM(Z9:AA9)/AVERAGE(Y5,AA5)</f>
        <v/>
      </c>
      <c r="AB30" s="66">
        <f>SUM(AA9:AB9)/AVERAGE(Z5,AB5)</f>
        <v/>
      </c>
      <c r="AC30" s="66">
        <f>SUM(AB9:AC9)/AVERAGE(AA5,AC5)</f>
        <v/>
      </c>
      <c r="AD30" s="66">
        <f>SUM(AC9:AD9)/AVERAGE(AB5,AD5)</f>
        <v/>
      </c>
      <c r="AE30" s="66">
        <f>SUM(AD9:AE9)/AVERAGE(AC5,AE5)</f>
        <v/>
      </c>
      <c r="AF30" s="66">
        <f>SUM(AE9:AF9)/AVERAGE(AD5,AF5)</f>
        <v/>
      </c>
      <c r="AG30" s="66">
        <f>SUM(AF9:AG9)/AVERAGE(AE5,AG5)</f>
        <v/>
      </c>
      <c r="AH30" s="66">
        <f>SUM(AG9:AH9)/AVERAGE(AF5,AH5)</f>
        <v/>
      </c>
      <c r="AI30" s="66">
        <f>SUM(AH9:AI9)/AVERAGE(AG5,AI5)</f>
        <v/>
      </c>
      <c r="AJ30" s="66">
        <f>SUM(AI9:AJ9)/AVERAGE(AH5,AJ5)</f>
        <v/>
      </c>
      <c r="AK30" s="66">
        <f>SUM(AJ9:AK9)/AVERAGE(AI5,AK5)</f>
        <v/>
      </c>
      <c r="AL30" s="66">
        <f>SUM(AK9:AL9)/AVERAGE(AJ5,AL5)</f>
        <v/>
      </c>
      <c r="AM30" s="66">
        <f>SUM(AL9:AM9)/AVERAGE(AK5,AM5)</f>
        <v/>
      </c>
      <c r="AN30" s="66">
        <f>SUM(AM9:AN9)/AVERAGE(AL5,AN5)</f>
        <v/>
      </c>
      <c r="AO30" s="66">
        <f>SUM(AN9:AO9)/AVERAGE(AM5,AO5)</f>
        <v/>
      </c>
      <c r="AP30" s="66">
        <f>SUM(AO9:AP9)/AVERAGE(AN5,AP5)</f>
        <v/>
      </c>
    </row>
    <row r="31">
      <c r="A31" s="6" t="inlineStr">
        <is>
          <t>ROE (NI)</t>
        </is>
      </c>
      <c r="G31" s="12">
        <f>SUM(F10:G10)/AVERAGE(E5,G5)</f>
        <v/>
      </c>
      <c r="H31" s="12">
        <f>SUM(G10:H10)/AVERAGE(F5,H5)</f>
        <v/>
      </c>
      <c r="I31" s="12">
        <f>SUM(H10:I10)/AVERAGE(G5,I5)</f>
        <v/>
      </c>
      <c r="J31" s="12">
        <f>SUM(I10:J10)/AVERAGE(H5,J5)</f>
        <v/>
      </c>
      <c r="K31" s="12">
        <f>SUM(J10:K10)/AVERAGE(I5,K5)</f>
        <v/>
      </c>
      <c r="L31" s="12">
        <f>SUM(K10:L10)/AVERAGE(J5,L5)</f>
        <v/>
      </c>
      <c r="M31" s="12">
        <f>SUM(L10:M10)/AVERAGE(K5,M5)</f>
        <v/>
      </c>
      <c r="N31" s="12">
        <f>SUM(M10:N10)/AVERAGE(L5,N5)</f>
        <v/>
      </c>
      <c r="O31" s="12">
        <f>SUM(N10:O10)/AVERAGE(M5,O5)</f>
        <v/>
      </c>
      <c r="P31" s="12">
        <f>SUM(O10:P10)/AVERAGE(N5,P5)</f>
        <v/>
      </c>
      <c r="Q31" s="12">
        <f>SUM(P10:Q10)/AVERAGE(O5,Q5)</f>
        <v/>
      </c>
      <c r="R31" s="12">
        <f>SUM(Q10:R10)/AVERAGE(P5,R5)</f>
        <v/>
      </c>
      <c r="S31" s="12">
        <f>SUM(R10:S10)/AVERAGE(Q5,S5)</f>
        <v/>
      </c>
      <c r="T31" s="12">
        <f>SUM(S10:T10)/AVERAGE(R5,T5)</f>
        <v/>
      </c>
      <c r="U31" s="12">
        <f>SUM(T10:U10)/AVERAGE(S5,U5)</f>
        <v/>
      </c>
      <c r="V31" s="66">
        <f>SUM(U10:V10)/AVERAGE(T5,V5)</f>
        <v/>
      </c>
      <c r="W31" s="66">
        <f>SUM(V10:W10)/AVERAGE(U5,W5)</f>
        <v/>
      </c>
      <c r="X31" s="66">
        <f>SUM(W10:X10)/AVERAGE(V5,X5)</f>
        <v/>
      </c>
      <c r="Y31" s="66">
        <f>SUM(X10:Y10)/AVERAGE(W5,Y5)</f>
        <v/>
      </c>
      <c r="Z31" s="66">
        <f>SUM(Y10:Z10)/AVERAGE(X5,Z5)</f>
        <v/>
      </c>
      <c r="AA31" s="66">
        <f>SUM(Z10:AA10)/AVERAGE(Y5,AA5)</f>
        <v/>
      </c>
      <c r="AB31" s="66">
        <f>SUM(AA10:AB10)/AVERAGE(Z5,AB5)</f>
        <v/>
      </c>
      <c r="AC31" s="66">
        <f>SUM(AB10:AC10)/AVERAGE(AA5,AC5)</f>
        <v/>
      </c>
      <c r="AD31" s="66">
        <f>SUM(AC10:AD10)/AVERAGE(AB5,AD5)</f>
        <v/>
      </c>
      <c r="AE31" s="66">
        <f>SUM(AD10:AE10)/AVERAGE(AC5,AE5)</f>
        <v/>
      </c>
      <c r="AF31" s="66">
        <f>SUM(AE10:AF10)/AVERAGE(AD5,AF5)</f>
        <v/>
      </c>
      <c r="AG31" s="66">
        <f>SUM(AF10:AG10)/AVERAGE(AE5,AG5)</f>
        <v/>
      </c>
      <c r="AH31" s="66">
        <f>SUM(AG10:AH10)/AVERAGE(AF5,AH5)</f>
        <v/>
      </c>
      <c r="AI31" s="66">
        <f>SUM(AH10:AI10)/AVERAGE(AG5,AI5)</f>
        <v/>
      </c>
      <c r="AJ31" s="66">
        <f>SUM(AI10:AJ10)/AVERAGE(AH5,AJ5)</f>
        <v/>
      </c>
      <c r="AK31" s="66">
        <f>SUM(AJ10:AK10)/AVERAGE(AI5,AK5)</f>
        <v/>
      </c>
      <c r="AL31" s="66">
        <f>SUM(AK10:AL10)/AVERAGE(AJ5,AL5)</f>
        <v/>
      </c>
      <c r="AM31" s="66">
        <f>SUM(AL10:AM10)/AVERAGE(AK5,AM5)</f>
        <v/>
      </c>
      <c r="AN31" s="66">
        <f>SUM(AM10:AN10)/AVERAGE(AL5,AN5)</f>
        <v/>
      </c>
      <c r="AO31" s="66">
        <f>SUM(AN10:AO10)/AVERAGE(AM5,AO5)</f>
        <v/>
      </c>
      <c r="AP31" s="66">
        <f>SUM(AO10:AP10)/AVERAGE(AN5,AP5)</f>
        <v/>
      </c>
    </row>
    <row r="32"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  <c r="AF32" s="60" t="n"/>
      <c r="AG32" s="60" t="n"/>
      <c r="AH32" s="60" t="n"/>
      <c r="AI32" s="60" t="n"/>
      <c r="AJ32" s="60" t="n"/>
      <c r="AK32" s="60" t="n"/>
      <c r="AL32" s="60" t="n"/>
      <c r="AM32" s="60" t="n"/>
      <c r="AN32" s="60" t="n"/>
      <c r="AO32" s="60" t="n"/>
      <c r="AP32" s="60" t="n"/>
    </row>
    <row r="33">
      <c r="A33" s="6" t="inlineStr">
        <is>
          <t>Sales / Assets</t>
        </is>
      </c>
      <c r="C33" s="9" t="n"/>
      <c r="D33" s="9">
        <f>D8*4/D3</f>
        <v/>
      </c>
      <c r="E33" s="9">
        <f>E8*4/E3</f>
        <v/>
      </c>
      <c r="F33" s="9">
        <f>F8*4/F3</f>
        <v/>
      </c>
      <c r="G33" s="9">
        <f>G8*4/G3</f>
        <v/>
      </c>
      <c r="H33" s="9">
        <f>H8*4/H3</f>
        <v/>
      </c>
      <c r="I33" s="9">
        <f>I8*4/I3</f>
        <v/>
      </c>
      <c r="J33" s="9">
        <f>J8*4/J3</f>
        <v/>
      </c>
      <c r="K33" s="9">
        <f>K8*4/K3</f>
        <v/>
      </c>
      <c r="L33" s="9">
        <f>L8*4/L3</f>
        <v/>
      </c>
      <c r="M33" s="9">
        <f>M8*4/M3</f>
        <v/>
      </c>
      <c r="N33" s="9">
        <f>N8*4/N3</f>
        <v/>
      </c>
      <c r="O33" s="9">
        <f>O8*4/O3</f>
        <v/>
      </c>
      <c r="P33" s="9">
        <f>P8*4/P3</f>
        <v/>
      </c>
      <c r="Q33" s="9">
        <f>Q8*4/Q3</f>
        <v/>
      </c>
      <c r="R33" s="9">
        <f>R8*4/R3</f>
        <v/>
      </c>
      <c r="S33" s="9">
        <f>S8*4/S3</f>
        <v/>
      </c>
      <c r="T33" s="9">
        <f>T8*4/T3</f>
        <v/>
      </c>
      <c r="U33" s="9">
        <f>U8*4/U3</f>
        <v/>
      </c>
      <c r="V33" s="68">
        <f>V8*4/V3</f>
        <v/>
      </c>
      <c r="W33" s="68">
        <f>W8*4/W3</f>
        <v/>
      </c>
      <c r="X33" s="68">
        <f>X8*4/X3</f>
        <v/>
      </c>
      <c r="Y33" s="68">
        <f>Y8*4/Y3</f>
        <v/>
      </c>
      <c r="Z33" s="68">
        <f>Z8*4/Z3</f>
        <v/>
      </c>
      <c r="AA33" s="68">
        <f>AA8*4/AA3</f>
        <v/>
      </c>
      <c r="AB33" s="68">
        <f>AB8*4/AB3</f>
        <v/>
      </c>
      <c r="AC33" s="68">
        <f>AC8*4/AC3</f>
        <v/>
      </c>
      <c r="AD33" s="68">
        <f>AD8*4/AD3</f>
        <v/>
      </c>
      <c r="AE33" s="68">
        <f>AE8*4/AE3</f>
        <v/>
      </c>
      <c r="AF33" s="68">
        <f>AF8*4/AF3</f>
        <v/>
      </c>
      <c r="AG33" s="68">
        <f>AG8*4/AG3</f>
        <v/>
      </c>
      <c r="AH33" s="68">
        <f>AH8*4/AH3</f>
        <v/>
      </c>
      <c r="AI33" s="68">
        <f>AI8*4/AI3</f>
        <v/>
      </c>
      <c r="AJ33" s="68">
        <f>AJ8*4/AJ3</f>
        <v/>
      </c>
      <c r="AK33" s="68">
        <f>AK8*4/AK3</f>
        <v/>
      </c>
      <c r="AL33" s="68">
        <f>AL8*4/AL3</f>
        <v/>
      </c>
      <c r="AM33" s="68">
        <f>AM8*4/AM3</f>
        <v/>
      </c>
      <c r="AN33" s="68">
        <f>AN8*4/AN3</f>
        <v/>
      </c>
      <c r="AO33" s="68">
        <f>AO8*4/AO3</f>
        <v/>
      </c>
      <c r="AP33" s="68">
        <f>AP8*4/AP3</f>
        <v/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99"/>
  <sheetViews>
    <sheetView workbookViewId="0">
      <selection activeCell="H11" sqref="A2:H11"/>
    </sheetView>
  </sheetViews>
  <sheetFormatPr baseColWidth="8" defaultColWidth="20.7109375" defaultRowHeight="15"/>
  <cols>
    <col width="30.7109375" customWidth="1" style="73" min="1" max="1"/>
    <col width="50.7109375" customWidth="1" style="73" min="2" max="2"/>
    <col width="12.7109375" customWidth="1" style="73" min="3" max="6"/>
  </cols>
  <sheetData>
    <row r="1">
      <c r="A1" s="32" t="inlineStr">
        <is>
          <t>Name</t>
        </is>
      </c>
      <c r="B1" s="32" t="inlineStr">
        <is>
          <t>Title</t>
        </is>
      </c>
      <c r="C1" s="32" t="inlineStr">
        <is>
          <t>shares</t>
        </is>
      </c>
      <c r="D1" s="32" t="inlineStr">
        <is>
          <t>voting rights</t>
        </is>
      </c>
      <c r="E1" s="32" t="inlineStr">
        <is>
          <t>% shares</t>
        </is>
      </c>
      <c r="F1" s="32" t="inlineStr">
        <is>
          <t>% Voting</t>
        </is>
      </c>
    </row>
    <row r="2">
      <c r="A2" s="43" t="n"/>
      <c r="B2" s="43" t="n"/>
      <c r="C2" s="44" t="n"/>
      <c r="D2" s="44" t="n"/>
      <c r="E2" s="45" t="n"/>
      <c r="F2" s="46" t="n"/>
      <c r="G2" s="5" t="n"/>
    </row>
    <row r="3">
      <c r="A3" s="46" t="n"/>
      <c r="B3" s="46" t="n"/>
      <c r="C3" s="47" t="n"/>
      <c r="D3" s="47" t="n"/>
      <c r="E3" s="48" t="n"/>
      <c r="F3" s="48" t="n"/>
      <c r="G3" s="5" t="n"/>
    </row>
    <row r="4">
      <c r="A4" s="46" t="n"/>
      <c r="B4" s="46" t="n"/>
      <c r="C4" s="47" t="n"/>
      <c r="D4" s="47" t="n"/>
      <c r="E4" s="48" t="n"/>
      <c r="F4" s="48" t="n"/>
      <c r="G4" s="5" t="n"/>
    </row>
    <row r="5">
      <c r="A5" s="46" t="n"/>
      <c r="B5" s="46" t="n"/>
      <c r="C5" s="47" t="n"/>
      <c r="D5" s="47" t="n"/>
      <c r="E5" s="48" t="n"/>
      <c r="F5" s="48" t="n"/>
      <c r="G5" s="5" t="n"/>
    </row>
    <row r="6">
      <c r="A6" s="2" t="n"/>
      <c r="B6" s="2" t="n"/>
      <c r="C6" s="3" t="n"/>
      <c r="D6" s="3" t="n"/>
      <c r="E6" s="40" t="n"/>
      <c r="F6" s="5" t="n"/>
      <c r="G6" s="5" t="n"/>
    </row>
    <row r="7">
      <c r="E7" s="31" t="n"/>
    </row>
    <row r="8">
      <c r="C8" s="1" t="n"/>
      <c r="D8" s="1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CU99"/>
  <sheetViews>
    <sheetView showGridLines="0" workbookViewId="0">
      <pane xSplit="3" ySplit="11" topLeftCell="AJ12" activePane="bottomRight" state="frozen"/>
      <selection pane="topRight" activeCell="D1" sqref="D1"/>
      <selection pane="bottomLeft" activeCell="A12" sqref="A12"/>
      <selection pane="bottomRight" activeCell="AQ12" sqref="AQ12"/>
    </sheetView>
  </sheetViews>
  <sheetFormatPr baseColWidth="8" defaultColWidth="15" defaultRowHeight="15" customHeight="1"/>
  <cols>
    <col width="2" customWidth="1" style="73" min="1" max="2"/>
    <col width="25" customWidth="1" style="73" min="3" max="3"/>
  </cols>
  <sheetData>
    <row r="1" ht="13.5" customHeight="1" s="73"/>
    <row r="2" ht="33" customHeight="1" s="73">
      <c r="C2" s="72" t="inlineStr">
        <is>
          <t>Trilogiq</t>
        </is>
      </c>
    </row>
    <row r="3">
      <c r="C3" s="53" t="inlineStr">
        <is>
          <t>Premium Export</t>
        </is>
      </c>
    </row>
    <row r="4"/>
    <row r="5"/>
    <row r="6">
      <c r="C6" s="74" t="inlineStr">
        <is>
          <t>Income Statement</t>
        </is>
      </c>
      <c r="E6" s="54" t="n"/>
      <c r="F6" s="54" t="n"/>
      <c r="G6" s="54" t="n"/>
      <c r="H6" s="54" t="n"/>
      <c r="I6" s="54" t="n"/>
      <c r="J6" s="54" t="n"/>
      <c r="K6" s="54" t="n"/>
      <c r="L6" s="54" t="n"/>
    </row>
    <row r="7"/>
    <row r="8" ht="33" customHeight="1" s="73">
      <c r="C8" s="55" t="n"/>
      <c r="D8" s="55" t="inlineStr">
        <is>
          <t>Q-39</t>
        </is>
      </c>
      <c r="E8" s="55" t="inlineStr">
        <is>
          <t>Q-38</t>
        </is>
      </c>
      <c r="F8" s="55" t="inlineStr">
        <is>
          <t>Q-37</t>
        </is>
      </c>
      <c r="G8" s="55" t="inlineStr">
        <is>
          <t>Q-36</t>
        </is>
      </c>
      <c r="H8" s="55" t="inlineStr">
        <is>
          <t>Q-35</t>
        </is>
      </c>
      <c r="I8" s="55" t="inlineStr">
        <is>
          <t>Q-34</t>
        </is>
      </c>
      <c r="J8" s="55" t="inlineStr">
        <is>
          <t>Q-33</t>
        </is>
      </c>
      <c r="K8" s="55" t="inlineStr">
        <is>
          <t>Q-32</t>
        </is>
      </c>
      <c r="L8" s="55" t="inlineStr">
        <is>
          <t>Q-31</t>
        </is>
      </c>
      <c r="M8" s="55" t="inlineStr">
        <is>
          <t>Q-30</t>
        </is>
      </c>
      <c r="N8" s="55" t="inlineStr">
        <is>
          <t>Q-29</t>
        </is>
      </c>
      <c r="O8" s="55" t="inlineStr">
        <is>
          <t>Q-28</t>
        </is>
      </c>
      <c r="P8" s="55" t="inlineStr">
        <is>
          <t>Q-27</t>
        </is>
      </c>
      <c r="Q8" s="55" t="inlineStr">
        <is>
          <t>Q-26</t>
        </is>
      </c>
      <c r="R8" s="55" t="inlineStr">
        <is>
          <t>Q-25</t>
        </is>
      </c>
      <c r="S8" s="55" t="inlineStr">
        <is>
          <t>Q-24</t>
        </is>
      </c>
      <c r="T8" s="55" t="inlineStr">
        <is>
          <t>Q-23</t>
        </is>
      </c>
      <c r="U8" s="55" t="inlineStr">
        <is>
          <t>Q-22</t>
        </is>
      </c>
      <c r="V8" s="55" t="inlineStr">
        <is>
          <t>Q-21</t>
        </is>
      </c>
      <c r="W8" s="55" t="inlineStr">
        <is>
          <t>Q-20</t>
        </is>
      </c>
      <c r="X8" t="inlineStr">
        <is>
          <t>Q-19</t>
        </is>
      </c>
      <c r="Y8" t="inlineStr">
        <is>
          <t>Q-18</t>
        </is>
      </c>
      <c r="Z8" t="inlineStr">
        <is>
          <t>Q-17</t>
        </is>
      </c>
      <c r="AA8" t="inlineStr">
        <is>
          <t>Q-16</t>
        </is>
      </c>
      <c r="AB8" t="inlineStr">
        <is>
          <t>Q-15</t>
        </is>
      </c>
      <c r="AC8" t="inlineStr">
        <is>
          <t>Q-14</t>
        </is>
      </c>
      <c r="AD8" t="inlineStr">
        <is>
          <t>Q-13</t>
        </is>
      </c>
      <c r="AE8" t="inlineStr">
        <is>
          <t>Q-12</t>
        </is>
      </c>
      <c r="AF8" t="inlineStr">
        <is>
          <t>Q-11</t>
        </is>
      </c>
      <c r="AG8" t="inlineStr">
        <is>
          <t>Q-10</t>
        </is>
      </c>
      <c r="AH8" t="inlineStr">
        <is>
          <t>Q-9</t>
        </is>
      </c>
      <c r="AI8" t="inlineStr">
        <is>
          <t>Q-8</t>
        </is>
      </c>
      <c r="AJ8" t="inlineStr">
        <is>
          <t>Q-7</t>
        </is>
      </c>
      <c r="AK8" t="inlineStr">
        <is>
          <t>Q-6</t>
        </is>
      </c>
      <c r="AL8" t="inlineStr">
        <is>
          <t>Q-5</t>
        </is>
      </c>
      <c r="AM8" t="inlineStr">
        <is>
          <t>Q-4</t>
        </is>
      </c>
      <c r="AN8" t="inlineStr">
        <is>
          <t>Q-3</t>
        </is>
      </c>
      <c r="AO8" t="inlineStr">
        <is>
          <t>Q-2</t>
        </is>
      </c>
      <c r="AP8" t="inlineStr">
        <is>
          <t>Q-1</t>
        </is>
      </c>
      <c r="AQ8" t="inlineStr">
        <is>
          <t>Q</t>
        </is>
      </c>
    </row>
    <row r="9"/>
    <row r="10">
      <c r="C10" s="55" t="inlineStr">
        <is>
          <t>Period End Date</t>
        </is>
      </c>
      <c r="D10" s="55" t="inlineStr">
        <is>
          <t>2015-09-30</t>
        </is>
      </c>
      <c r="E10" s="55" t="inlineStr">
        <is>
          <t>2015-12-31</t>
        </is>
      </c>
      <c r="F10" s="55" t="inlineStr">
        <is>
          <t>2016-03-31</t>
        </is>
      </c>
      <c r="G10" s="55" t="inlineStr">
        <is>
          <t>2016-06-30</t>
        </is>
      </c>
      <c r="H10" s="55" t="inlineStr">
        <is>
          <t>2016-09-30</t>
        </is>
      </c>
      <c r="I10" s="55" t="inlineStr">
        <is>
          <t>2016-12-31</t>
        </is>
      </c>
      <c r="J10" s="55" t="inlineStr">
        <is>
          <t>2017-03-31</t>
        </is>
      </c>
      <c r="K10" s="55" t="inlineStr">
        <is>
          <t>2017-06-30</t>
        </is>
      </c>
      <c r="L10" s="55" t="inlineStr">
        <is>
          <t>2017-09-30</t>
        </is>
      </c>
      <c r="M10" s="55" t="inlineStr">
        <is>
          <t>2017-12-31</t>
        </is>
      </c>
      <c r="N10" s="55" t="inlineStr">
        <is>
          <t>2018-03-31</t>
        </is>
      </c>
      <c r="O10" s="55" t="inlineStr">
        <is>
          <t>2018-06-30</t>
        </is>
      </c>
      <c r="P10" s="55" t="inlineStr">
        <is>
          <t>2018-09-30</t>
        </is>
      </c>
      <c r="Q10" s="55" t="inlineStr">
        <is>
          <t>2018-12-31</t>
        </is>
      </c>
      <c r="R10" s="55" t="inlineStr">
        <is>
          <t>2019-03-31</t>
        </is>
      </c>
      <c r="S10" s="55" t="inlineStr">
        <is>
          <t>2019-06-30</t>
        </is>
      </c>
      <c r="T10" s="55" t="inlineStr">
        <is>
          <t>2019-09-30</t>
        </is>
      </c>
      <c r="U10" s="55" t="inlineStr">
        <is>
          <t>2019-12-31</t>
        </is>
      </c>
      <c r="V10" s="55" t="inlineStr">
        <is>
          <t>2020-03-31</t>
        </is>
      </c>
      <c r="W10" s="55" t="inlineStr">
        <is>
          <t>2020-06-30</t>
        </is>
      </c>
      <c r="X10" t="inlineStr">
        <is>
          <t>2020-09-30</t>
        </is>
      </c>
      <c r="Y10" t="inlineStr">
        <is>
          <t>2020-12-31</t>
        </is>
      </c>
      <c r="Z10" t="inlineStr">
        <is>
          <t>2021-03-31</t>
        </is>
      </c>
      <c r="AA10" t="inlineStr">
        <is>
          <t>2021-06-30</t>
        </is>
      </c>
      <c r="AB10" t="inlineStr">
        <is>
          <t>2021-09-30</t>
        </is>
      </c>
      <c r="AC10" t="inlineStr">
        <is>
          <t>2021-12-31</t>
        </is>
      </c>
      <c r="AD10" t="inlineStr">
        <is>
          <t>2022-03-31</t>
        </is>
      </c>
      <c r="AE10" t="inlineStr">
        <is>
          <t>2022-06-30</t>
        </is>
      </c>
      <c r="AF10" t="inlineStr">
        <is>
          <t>2022-09-30</t>
        </is>
      </c>
      <c r="AG10" t="inlineStr">
        <is>
          <t>2022-12-31</t>
        </is>
      </c>
      <c r="AH10" t="inlineStr">
        <is>
          <t>2023-03-31</t>
        </is>
      </c>
      <c r="AI10" t="inlineStr">
        <is>
          <t>2023-06-30</t>
        </is>
      </c>
      <c r="AJ10" t="inlineStr">
        <is>
          <t>2023-09-30</t>
        </is>
      </c>
      <c r="AK10" t="inlineStr">
        <is>
          <t>2023-12-31</t>
        </is>
      </c>
      <c r="AL10" t="inlineStr">
        <is>
          <t>2024-03-31</t>
        </is>
      </c>
      <c r="AM10" t="inlineStr">
        <is>
          <t>2024-06-30</t>
        </is>
      </c>
      <c r="AN10" t="inlineStr">
        <is>
          <t>2024-09-30</t>
        </is>
      </c>
      <c r="AO10" t="inlineStr">
        <is>
          <t>2024-12-31</t>
        </is>
      </c>
      <c r="AP10" t="inlineStr">
        <is>
          <t>2025-03-31</t>
        </is>
      </c>
      <c r="AQ10" t="inlineStr">
        <is>
          <t>2025-06-30</t>
        </is>
      </c>
    </row>
    <row r="11"/>
    <row r="12">
      <c r="C12" s="55" t="inlineStr">
        <is>
          <t>Revenue</t>
        </is>
      </c>
      <c r="D12" s="55" t="n">
        <v>53.4</v>
      </c>
      <c r="E12" s="55" t="n">
        <v>53.4</v>
      </c>
      <c r="F12" s="55" t="n">
        <v>55.3</v>
      </c>
      <c r="G12" s="55" t="n">
        <v>55.3</v>
      </c>
      <c r="H12" s="55" t="n">
        <v>60.9</v>
      </c>
      <c r="I12" s="55" t="n">
        <v>60.9</v>
      </c>
      <c r="J12" s="55" t="n">
        <v>51.2</v>
      </c>
      <c r="K12" s="55" t="n">
        <v>51.2</v>
      </c>
      <c r="L12" s="55" t="n">
        <v>49</v>
      </c>
      <c r="M12" s="55" t="n">
        <v>49</v>
      </c>
      <c r="N12" s="55" t="n">
        <v>52</v>
      </c>
      <c r="O12" s="55" t="n">
        <v>52</v>
      </c>
      <c r="P12" s="55" t="n">
        <v>43.7</v>
      </c>
      <c r="Q12" s="55" t="n">
        <v>43.7</v>
      </c>
      <c r="R12" s="55" t="n">
        <v>48.3</v>
      </c>
      <c r="S12" s="55" t="n">
        <v>48.3</v>
      </c>
      <c r="T12" s="55" t="n">
        <v>38.5</v>
      </c>
      <c r="U12" s="55" t="n">
        <v>38.5</v>
      </c>
      <c r="V12" s="55" t="n">
        <v>30.8</v>
      </c>
      <c r="W12" s="55" t="n">
        <v>30.8</v>
      </c>
      <c r="X12" t="n">
        <v>36.7</v>
      </c>
      <c r="Y12" t="n">
        <v>36.7</v>
      </c>
      <c r="Z12" t="n">
        <v>45.2</v>
      </c>
      <c r="AA12" t="n">
        <v>45.2</v>
      </c>
      <c r="AB12" t="n">
        <v>38.1</v>
      </c>
      <c r="AC12" t="n">
        <v>38.1</v>
      </c>
      <c r="AD12" t="n">
        <v>45.4</v>
      </c>
      <c r="AE12" t="n">
        <v>45.4</v>
      </c>
      <c r="AF12" t="n">
        <v>43.9</v>
      </c>
      <c r="AG12" t="n">
        <v>43.9</v>
      </c>
      <c r="AH12" t="n">
        <v>45.6</v>
      </c>
      <c r="AI12" t="n">
        <v>45.6</v>
      </c>
      <c r="AJ12" t="n">
        <v>39.6</v>
      </c>
      <c r="AK12" t="n">
        <v>39.6</v>
      </c>
      <c r="AL12" t="n">
        <v>45.1</v>
      </c>
      <c r="AM12" t="n">
        <v>45.1</v>
      </c>
      <c r="AN12" t="n">
        <v>37.7</v>
      </c>
      <c r="AO12" t="n">
        <v>37.7</v>
      </c>
      <c r="AP12" t="n">
        <v>39.7</v>
      </c>
      <c r="AQ12" t="n">
        <v>39.7</v>
      </c>
    </row>
    <row r="13">
      <c r="C13" s="55" t="inlineStr">
        <is>
          <t>Revenue Growth (YoY)</t>
        </is>
      </c>
      <c r="D13" s="55" t="inlineStr">
        <is>
          <t>NM</t>
        </is>
      </c>
      <c r="E13" s="55" t="inlineStr">
        <is>
          <t>NM</t>
        </is>
      </c>
      <c r="F13" s="55" t="inlineStr">
        <is>
          <t>-0.1%</t>
        </is>
      </c>
      <c r="G13" s="55" t="inlineStr">
        <is>
          <t>-0.1%</t>
        </is>
      </c>
      <c r="H13" s="55" t="inlineStr">
        <is>
          <t>14.1%</t>
        </is>
      </c>
      <c r="I13" s="55" t="inlineStr">
        <is>
          <t>14.1%</t>
        </is>
      </c>
      <c r="J13" s="55" t="inlineStr">
        <is>
          <t>-7.3%</t>
        </is>
      </c>
      <c r="K13" s="55" t="inlineStr">
        <is>
          <t>-7.3%</t>
        </is>
      </c>
      <c r="L13" s="55" t="inlineStr">
        <is>
          <t>-19.6%</t>
        </is>
      </c>
      <c r="M13" s="55" t="inlineStr">
        <is>
          <t>-19.6%</t>
        </is>
      </c>
      <c r="N13" s="55" t="inlineStr">
        <is>
          <t>1.6%</t>
        </is>
      </c>
      <c r="O13" s="55" t="inlineStr">
        <is>
          <t>1.6%</t>
        </is>
      </c>
      <c r="P13" s="55" t="inlineStr">
        <is>
          <t>-10.8%</t>
        </is>
      </c>
      <c r="Q13" s="55" t="inlineStr">
        <is>
          <t>-10.8%</t>
        </is>
      </c>
      <c r="R13" s="55" t="inlineStr">
        <is>
          <t>-7.2%</t>
        </is>
      </c>
      <c r="S13" s="55" t="inlineStr">
        <is>
          <t>-7.2%</t>
        </is>
      </c>
      <c r="T13" s="55" t="inlineStr">
        <is>
          <t>-11.8%</t>
        </is>
      </c>
      <c r="U13" s="55" t="inlineStr">
        <is>
          <t>-11.8%</t>
        </is>
      </c>
      <c r="V13" s="55" t="inlineStr">
        <is>
          <t>-36.3%</t>
        </is>
      </c>
      <c r="W13" s="55" t="inlineStr">
        <is>
          <t>-36.3%</t>
        </is>
      </c>
      <c r="X13" t="inlineStr">
        <is>
          <t>-4.9%</t>
        </is>
      </c>
      <c r="Y13" t="inlineStr">
        <is>
          <t>-4.9%</t>
        </is>
      </c>
      <c r="Z13" t="inlineStr">
        <is>
          <t>46.9%</t>
        </is>
      </c>
      <c r="AA13" t="inlineStr">
        <is>
          <t>46.9%</t>
        </is>
      </c>
      <c r="AB13" t="inlineStr">
        <is>
          <t>4.0%</t>
        </is>
      </c>
      <c r="AC13" t="inlineStr">
        <is>
          <t>4.0%</t>
        </is>
      </c>
      <c r="AD13" t="inlineStr">
        <is>
          <t>0.5%</t>
        </is>
      </c>
      <c r="AE13" t="inlineStr">
        <is>
          <t>0.5%</t>
        </is>
      </c>
      <c r="AF13" t="inlineStr">
        <is>
          <t>15.2%</t>
        </is>
      </c>
      <c r="AG13" t="inlineStr">
        <is>
          <t>15.2%</t>
        </is>
      </c>
      <c r="AH13" t="inlineStr">
        <is>
          <t>0.4%</t>
        </is>
      </c>
      <c r="AI13" t="inlineStr">
        <is>
          <t>0.4%</t>
        </is>
      </c>
      <c r="AJ13" t="inlineStr">
        <is>
          <t>-10.0%</t>
        </is>
      </c>
      <c r="AK13" t="inlineStr">
        <is>
          <t>-10.0%</t>
        </is>
      </c>
      <c r="AL13" t="inlineStr">
        <is>
          <t>-1.1%</t>
        </is>
      </c>
      <c r="AM13" t="inlineStr">
        <is>
          <t>-1.1%</t>
        </is>
      </c>
      <c r="AN13" t="inlineStr">
        <is>
          <t>-4.7%</t>
        </is>
      </c>
      <c r="AO13" t="inlineStr">
        <is>
          <t>-4.7%</t>
        </is>
      </c>
      <c r="AP13" t="inlineStr">
        <is>
          <t>-11.9%</t>
        </is>
      </c>
      <c r="AQ13" t="inlineStr">
        <is>
          <t>-11.9%</t>
        </is>
      </c>
    </row>
    <row r="14"/>
    <row r="15">
      <c r="C15" s="55" t="inlineStr">
        <is>
          <t>Cost of Revenues</t>
        </is>
      </c>
      <c r="D15" s="55" t="n">
        <v>-23.3</v>
      </c>
      <c r="E15" s="55" t="n">
        <v>-23.3</v>
      </c>
      <c r="F15" s="55" t="n">
        <v>-21.8</v>
      </c>
      <c r="G15" s="55" t="n">
        <v>-21.8</v>
      </c>
      <c r="H15" s="55" t="n">
        <v>-33.3</v>
      </c>
      <c r="I15" s="55" t="n">
        <v>-33.3</v>
      </c>
      <c r="J15" s="55" t="n">
        <v>-25.1</v>
      </c>
      <c r="K15" s="55" t="n">
        <v>-25.1</v>
      </c>
      <c r="L15" s="55" t="n">
        <v>-24.7</v>
      </c>
      <c r="M15" s="55" t="n">
        <v>-24.7</v>
      </c>
      <c r="N15" s="55" t="n">
        <v>-24</v>
      </c>
      <c r="O15" s="55" t="n">
        <v>-24</v>
      </c>
      <c r="P15" s="55" t="n">
        <v>-21.9</v>
      </c>
      <c r="Q15" s="55" t="n">
        <v>-21.9</v>
      </c>
      <c r="R15" s="55" t="n">
        <v>-23</v>
      </c>
      <c r="S15" s="55" t="n">
        <v>-23</v>
      </c>
      <c r="T15" s="55" t="n">
        <v>-18.6</v>
      </c>
      <c r="U15" s="55" t="n">
        <v>-18.6</v>
      </c>
      <c r="V15" s="55" t="n">
        <v>-13.5</v>
      </c>
      <c r="W15" s="55" t="n">
        <v>-13.5</v>
      </c>
      <c r="X15" t="n">
        <v>-17.1</v>
      </c>
      <c r="Y15" t="n">
        <v>-17.1</v>
      </c>
      <c r="Z15" t="n">
        <v>-22.2</v>
      </c>
      <c r="AA15" t="n">
        <v>-22.2</v>
      </c>
      <c r="AB15" t="n">
        <v>-20.3</v>
      </c>
      <c r="AC15" t="n">
        <v>-20.3</v>
      </c>
      <c r="AD15" t="n">
        <v>-23.8</v>
      </c>
      <c r="AE15" t="n">
        <v>-23.8</v>
      </c>
      <c r="AF15" t="n">
        <v>-27.3</v>
      </c>
      <c r="AG15" t="n">
        <v>-27.3</v>
      </c>
      <c r="AH15" t="n">
        <v>-24.6</v>
      </c>
      <c r="AI15" t="n">
        <v>-24.6</v>
      </c>
      <c r="AJ15" t="n">
        <v>-21.7</v>
      </c>
      <c r="AK15" t="n">
        <v>-21.7</v>
      </c>
      <c r="AL15" t="n">
        <v>-23.4</v>
      </c>
      <c r="AM15" t="n">
        <v>-23.4</v>
      </c>
      <c r="AN15" t="n">
        <v>-22.8</v>
      </c>
      <c r="AO15" t="n">
        <v>-22.8</v>
      </c>
      <c r="AP15" t="n">
        <v>-20.6</v>
      </c>
      <c r="AQ15" t="n">
        <v>-20.6</v>
      </c>
    </row>
    <row r="16">
      <c r="C16" s="55" t="inlineStr">
        <is>
          <t>Gross Profit</t>
        </is>
      </c>
      <c r="D16" s="55" t="n">
        <v>30.2</v>
      </c>
      <c r="E16" s="55" t="n">
        <v>30.2</v>
      </c>
      <c r="F16" s="55" t="n">
        <v>33.4</v>
      </c>
      <c r="G16" s="55" t="n">
        <v>33.4</v>
      </c>
      <c r="H16" s="55" t="n">
        <v>27.7</v>
      </c>
      <c r="I16" s="55" t="n">
        <v>27.7</v>
      </c>
      <c r="J16" s="55" t="n">
        <v>26.1</v>
      </c>
      <c r="K16" s="55" t="n">
        <v>26.1</v>
      </c>
      <c r="L16" s="55" t="n">
        <v>24.3</v>
      </c>
      <c r="M16" s="55" t="n">
        <v>24.3</v>
      </c>
      <c r="N16" s="55" t="n">
        <v>28.1</v>
      </c>
      <c r="O16" s="55" t="n">
        <v>28.1</v>
      </c>
      <c r="P16" s="55" t="n">
        <v>21.8</v>
      </c>
      <c r="Q16" s="55" t="n">
        <v>21.8</v>
      </c>
      <c r="R16" s="55" t="n">
        <v>25.3</v>
      </c>
      <c r="S16" s="55" t="n">
        <v>25.3</v>
      </c>
      <c r="T16" s="55" t="n">
        <v>19.9</v>
      </c>
      <c r="U16" s="55" t="n">
        <v>19.9</v>
      </c>
      <c r="V16" s="55" t="n">
        <v>17.3</v>
      </c>
      <c r="W16" s="55" t="n">
        <v>17.3</v>
      </c>
      <c r="X16" t="n">
        <v>19.6</v>
      </c>
      <c r="Y16" t="n">
        <v>19.6</v>
      </c>
      <c r="Z16" t="n">
        <v>23</v>
      </c>
      <c r="AA16" t="n">
        <v>23</v>
      </c>
      <c r="AB16" t="n">
        <v>17.8</v>
      </c>
      <c r="AC16" t="n">
        <v>17.8</v>
      </c>
      <c r="AD16" t="n">
        <v>21.7</v>
      </c>
      <c r="AE16" t="n">
        <v>21.7</v>
      </c>
      <c r="AF16" t="n">
        <v>16.6</v>
      </c>
      <c r="AG16" t="n">
        <v>16.6</v>
      </c>
      <c r="AH16" t="n">
        <v>21</v>
      </c>
      <c r="AI16" t="n">
        <v>21</v>
      </c>
      <c r="AJ16" t="n">
        <v>17.9</v>
      </c>
      <c r="AK16" t="n">
        <v>17.9</v>
      </c>
      <c r="AL16" t="n">
        <v>21.7</v>
      </c>
      <c r="AM16" t="n">
        <v>21.7</v>
      </c>
      <c r="AN16" t="n">
        <v>14.9</v>
      </c>
      <c r="AO16" t="n">
        <v>14.9</v>
      </c>
      <c r="AP16" t="n">
        <v>19.1</v>
      </c>
      <c r="AQ16" t="n">
        <v>19.1</v>
      </c>
    </row>
    <row r="17">
      <c r="C17" s="55" t="inlineStr">
        <is>
          <t>Gross Profit Margin</t>
        </is>
      </c>
      <c r="D17" s="55" t="inlineStr">
        <is>
          <t>56.5%</t>
        </is>
      </c>
      <c r="E17" s="55" t="inlineStr">
        <is>
          <t>56.5%</t>
        </is>
      </c>
      <c r="F17" s="55" t="inlineStr">
        <is>
          <t>60.5%</t>
        </is>
      </c>
      <c r="G17" s="55" t="inlineStr">
        <is>
          <t>60.5%</t>
        </is>
      </c>
      <c r="H17" s="55" t="inlineStr">
        <is>
          <t>45.4%</t>
        </is>
      </c>
      <c r="I17" s="55" t="inlineStr">
        <is>
          <t>45.4%</t>
        </is>
      </c>
      <c r="J17" s="55" t="inlineStr">
        <is>
          <t>51.1%</t>
        </is>
      </c>
      <c r="K17" s="55" t="inlineStr">
        <is>
          <t>51.1%</t>
        </is>
      </c>
      <c r="L17" s="55" t="inlineStr">
        <is>
          <t>49.5%</t>
        </is>
      </c>
      <c r="M17" s="55" t="inlineStr">
        <is>
          <t>49.5%</t>
        </is>
      </c>
      <c r="N17" s="55" t="inlineStr">
        <is>
          <t>53.9%</t>
        </is>
      </c>
      <c r="O17" s="55" t="inlineStr">
        <is>
          <t>53.9%</t>
        </is>
      </c>
      <c r="P17" s="55" t="inlineStr">
        <is>
          <t>49.9%</t>
        </is>
      </c>
      <c r="Q17" s="55" t="inlineStr">
        <is>
          <t>49.9%</t>
        </is>
      </c>
      <c r="R17" s="55" t="inlineStr">
        <is>
          <t>52.4%</t>
        </is>
      </c>
      <c r="S17" s="55" t="inlineStr">
        <is>
          <t>52.4%</t>
        </is>
      </c>
      <c r="T17" s="55" t="inlineStr">
        <is>
          <t>51.7%</t>
        </is>
      </c>
      <c r="U17" s="55" t="inlineStr">
        <is>
          <t>51.7%</t>
        </is>
      </c>
      <c r="V17" s="55" t="inlineStr">
        <is>
          <t>56.1%</t>
        </is>
      </c>
      <c r="W17" s="55" t="inlineStr">
        <is>
          <t>56.1%</t>
        </is>
      </c>
      <c r="X17" t="inlineStr">
        <is>
          <t>53.3%</t>
        </is>
      </c>
      <c r="Y17" t="inlineStr">
        <is>
          <t>53.3%</t>
        </is>
      </c>
      <c r="Z17" t="inlineStr">
        <is>
          <t>50.8%</t>
        </is>
      </c>
      <c r="AA17" t="inlineStr">
        <is>
          <t>50.8%</t>
        </is>
      </c>
      <c r="AB17" t="inlineStr">
        <is>
          <t>46.7%</t>
        </is>
      </c>
      <c r="AC17" t="inlineStr">
        <is>
          <t>46.7%</t>
        </is>
      </c>
      <c r="AD17" t="inlineStr">
        <is>
          <t>47.7%</t>
        </is>
      </c>
      <c r="AE17" t="inlineStr">
        <is>
          <t>47.7%</t>
        </is>
      </c>
      <c r="AF17" t="inlineStr">
        <is>
          <t>37.8%</t>
        </is>
      </c>
      <c r="AG17" t="inlineStr">
        <is>
          <t>37.8%</t>
        </is>
      </c>
      <c r="AH17" t="inlineStr">
        <is>
          <t>46.0%</t>
        </is>
      </c>
      <c r="AI17" t="inlineStr">
        <is>
          <t>46.0%</t>
        </is>
      </c>
      <c r="AJ17" t="inlineStr">
        <is>
          <t>45.2%</t>
        </is>
      </c>
      <c r="AK17" t="inlineStr">
        <is>
          <t>45.2%</t>
        </is>
      </c>
      <c r="AL17" t="inlineStr">
        <is>
          <t>48.1%</t>
        </is>
      </c>
      <c r="AM17" t="inlineStr">
        <is>
          <t>48.1%</t>
        </is>
      </c>
      <c r="AN17" t="inlineStr">
        <is>
          <t>39.5%</t>
        </is>
      </c>
      <c r="AO17" t="inlineStr">
        <is>
          <t>39.5%</t>
        </is>
      </c>
      <c r="AP17" t="inlineStr">
        <is>
          <t>48.1%</t>
        </is>
      </c>
      <c r="AQ17" t="inlineStr">
        <is>
          <t>48.1%</t>
        </is>
      </c>
    </row>
    <row r="18"/>
    <row r="19">
      <c r="C19" s="55" t="inlineStr">
        <is>
          <t>R&amp;D Expenses</t>
        </is>
      </c>
      <c r="D19" s="55" t="n">
        <v>0</v>
      </c>
      <c r="E19" s="55" t="n">
        <v>0</v>
      </c>
      <c r="F19" s="55" t="n">
        <v>0</v>
      </c>
      <c r="G19" s="55" t="n">
        <v>0</v>
      </c>
      <c r="H19" s="55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-0.5</v>
      </c>
      <c r="Q19" s="55" t="n">
        <v>-0.5</v>
      </c>
      <c r="R19" s="55" t="n">
        <v>0</v>
      </c>
      <c r="S19" s="55" t="n">
        <v>0</v>
      </c>
      <c r="T19" s="55" t="n">
        <v>-0.4</v>
      </c>
      <c r="U19" s="55" t="n">
        <v>-0.4</v>
      </c>
      <c r="V19" s="55" t="n">
        <v>0</v>
      </c>
      <c r="W19" s="55" t="n">
        <v>0</v>
      </c>
      <c r="X19" t="n">
        <v>-0.4</v>
      </c>
      <c r="Y19" t="n">
        <v>-0.4</v>
      </c>
      <c r="Z19" t="n">
        <v>0</v>
      </c>
      <c r="AA19" t="n">
        <v>0</v>
      </c>
      <c r="AB19" t="n">
        <v>-0.4</v>
      </c>
      <c r="AC19" t="n">
        <v>-0.4</v>
      </c>
      <c r="AD19" t="n">
        <v>0</v>
      </c>
      <c r="AE19" t="n">
        <v>0</v>
      </c>
      <c r="AF19" t="n">
        <v>-0.4</v>
      </c>
      <c r="AG19" t="n">
        <v>-0.4</v>
      </c>
      <c r="AH19" t="n">
        <v>0</v>
      </c>
      <c r="AI19" t="n">
        <v>0</v>
      </c>
      <c r="AJ19" t="n">
        <v>-0.4</v>
      </c>
      <c r="AK19" t="n">
        <v>-0.4</v>
      </c>
      <c r="AL19" t="n">
        <v>0</v>
      </c>
      <c r="AM19" t="n">
        <v>0</v>
      </c>
      <c r="AN19" t="n">
        <v>-0.1</v>
      </c>
      <c r="AO19" t="n">
        <v>-0.1</v>
      </c>
      <c r="AP19" t="n">
        <v>0</v>
      </c>
      <c r="AQ19" t="n">
        <v>0</v>
      </c>
    </row>
    <row r="20">
      <c r="C20" s="55" t="inlineStr">
        <is>
          <t>Selling and Marketing Expense</t>
        </is>
      </c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5" t="n"/>
      <c r="V20" s="55" t="n"/>
      <c r="W20" s="55" t="n"/>
    </row>
    <row r="21">
      <c r="C21" s="55" t="inlineStr">
        <is>
          <t>General &amp; Admin Expenses</t>
        </is>
      </c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5" t="n"/>
      <c r="V21" s="55" t="n"/>
      <c r="W21" s="55" t="n"/>
    </row>
    <row r="22">
      <c r="C22" s="55" t="inlineStr">
        <is>
          <t>Other Inc / (Exp)</t>
        </is>
      </c>
      <c r="D22" s="55" t="n">
        <v>-9.800000000000001</v>
      </c>
      <c r="E22" s="55" t="n">
        <v>-9.800000000000001</v>
      </c>
      <c r="F22" s="55" t="n">
        <v>-12</v>
      </c>
      <c r="G22" s="55" t="n">
        <v>-12</v>
      </c>
      <c r="H22" s="55" t="n">
        <v>9.4</v>
      </c>
      <c r="I22" s="55" t="n">
        <v>9.4</v>
      </c>
      <c r="J22" s="55" t="n">
        <v>-8.199999999999999</v>
      </c>
      <c r="K22" s="55" t="n">
        <v>-8.199999999999999</v>
      </c>
      <c r="L22" s="55" t="n">
        <v>-5.9</v>
      </c>
      <c r="M22" s="55" t="n">
        <v>-5.9</v>
      </c>
      <c r="N22" s="55" t="n">
        <v>-7.1</v>
      </c>
      <c r="O22" s="55" t="n">
        <v>-7.1</v>
      </c>
      <c r="P22" s="55" t="n">
        <v>-5.2</v>
      </c>
      <c r="Q22" s="55" t="n">
        <v>-5.2</v>
      </c>
      <c r="R22" s="55" t="n">
        <v>-7.3</v>
      </c>
      <c r="S22" s="55" t="n">
        <v>-7.3</v>
      </c>
      <c r="T22" s="55" t="n">
        <v>-5.1</v>
      </c>
      <c r="U22" s="55" t="n">
        <v>-5.1</v>
      </c>
      <c r="V22" s="55" t="n">
        <v>-5.8</v>
      </c>
      <c r="W22" s="55" t="n">
        <v>-5.8</v>
      </c>
      <c r="X22" t="n">
        <v>-5.1</v>
      </c>
      <c r="Y22" t="n">
        <v>-5.1</v>
      </c>
      <c r="Z22" t="n">
        <v>-6.8</v>
      </c>
      <c r="AA22" t="n">
        <v>-6.8</v>
      </c>
      <c r="AB22" t="n">
        <v>-3.8</v>
      </c>
      <c r="AC22" t="n">
        <v>-3.8</v>
      </c>
      <c r="AD22" t="n">
        <v>-7.6</v>
      </c>
      <c r="AE22" t="n">
        <v>-7.6</v>
      </c>
      <c r="AF22" t="n">
        <v>-4.6</v>
      </c>
      <c r="AG22" t="n">
        <v>-4.6</v>
      </c>
      <c r="AH22" t="n">
        <v>-8</v>
      </c>
      <c r="AI22" t="n">
        <v>-8</v>
      </c>
      <c r="AJ22" t="n">
        <v>-5.3</v>
      </c>
      <c r="AK22" t="n">
        <v>-5.3</v>
      </c>
      <c r="AL22" t="n">
        <v>-9.300000000000001</v>
      </c>
      <c r="AM22" t="n">
        <v>-9.300000000000001</v>
      </c>
      <c r="AN22" t="n">
        <v>-4.2</v>
      </c>
      <c r="AO22" t="n">
        <v>-4.2</v>
      </c>
      <c r="AP22" t="n">
        <v>-8.199999999999999</v>
      </c>
      <c r="AQ22" t="n">
        <v>-8.199999999999999</v>
      </c>
    </row>
    <row r="23">
      <c r="C23" s="55" t="inlineStr">
        <is>
          <t>Operating Expenses</t>
        </is>
      </c>
      <c r="D23" s="55" t="n">
        <v>-27.7</v>
      </c>
      <c r="E23" s="55" t="n">
        <v>-27.7</v>
      </c>
      <c r="F23" s="55" t="n">
        <v>-32.3</v>
      </c>
      <c r="G23" s="55" t="n">
        <v>-32.3</v>
      </c>
      <c r="H23" s="55" t="n">
        <v>-8.1</v>
      </c>
      <c r="I23" s="55" t="n">
        <v>-8.1</v>
      </c>
      <c r="J23" s="55" t="n">
        <v>-24.1</v>
      </c>
      <c r="K23" s="55" t="n">
        <v>-24.1</v>
      </c>
      <c r="L23" s="55" t="n">
        <v>-21.7</v>
      </c>
      <c r="M23" s="55" t="n">
        <v>-21.7</v>
      </c>
      <c r="N23" s="55" t="n">
        <v>-23.6</v>
      </c>
      <c r="O23" s="55" t="n">
        <v>-23.6</v>
      </c>
      <c r="P23" s="55" t="n">
        <v>-20.4</v>
      </c>
      <c r="Q23" s="55" t="n">
        <v>-20.4</v>
      </c>
      <c r="R23" s="55" t="n">
        <v>-22.4</v>
      </c>
      <c r="S23" s="55" t="n">
        <v>-22.4</v>
      </c>
      <c r="T23" s="55" t="n">
        <v>-18.7</v>
      </c>
      <c r="U23" s="55" t="n">
        <v>-18.7</v>
      </c>
      <c r="V23" s="55" t="n">
        <v>-16.7</v>
      </c>
      <c r="W23" s="55" t="n">
        <v>-16.7</v>
      </c>
      <c r="X23" t="n">
        <v>-16.8</v>
      </c>
      <c r="Y23" t="n">
        <v>-16.8</v>
      </c>
      <c r="Z23" t="n">
        <v>-20</v>
      </c>
      <c r="AA23" t="n">
        <v>-20</v>
      </c>
      <c r="AB23" t="n">
        <v>-16</v>
      </c>
      <c r="AC23" t="n">
        <v>-16</v>
      </c>
      <c r="AD23" t="n">
        <v>-21.2</v>
      </c>
      <c r="AE23" t="n">
        <v>-21.2</v>
      </c>
      <c r="AF23" t="n">
        <v>-17.4</v>
      </c>
      <c r="AG23" t="n">
        <v>-17.4</v>
      </c>
      <c r="AH23" t="n">
        <v>-21.5</v>
      </c>
      <c r="AI23" t="n">
        <v>-21.5</v>
      </c>
      <c r="AJ23" t="n">
        <v>-19.2</v>
      </c>
      <c r="AK23" t="n">
        <v>-19.2</v>
      </c>
      <c r="AL23" t="n">
        <v>-23.1</v>
      </c>
      <c r="AM23" t="n">
        <v>-23.1</v>
      </c>
      <c r="AN23" t="n">
        <v>-17.1</v>
      </c>
      <c r="AO23" t="n">
        <v>-17.1</v>
      </c>
      <c r="AP23" t="n">
        <v>-21.1</v>
      </c>
      <c r="AQ23" t="n">
        <v>-21.1</v>
      </c>
    </row>
    <row r="24">
      <c r="C24" s="55" t="inlineStr">
        <is>
          <t>Operating Income</t>
        </is>
      </c>
      <c r="D24" s="55" t="n">
        <v>2.5</v>
      </c>
      <c r="E24" s="55" t="n">
        <v>2.5</v>
      </c>
      <c r="F24" s="55" t="n">
        <v>1.2</v>
      </c>
      <c r="G24" s="55" t="n">
        <v>1.2</v>
      </c>
      <c r="H24" s="55" t="n">
        <v>19.6</v>
      </c>
      <c r="I24" s="55" t="n">
        <v>19.6</v>
      </c>
      <c r="J24" s="55" t="n">
        <v>2</v>
      </c>
      <c r="K24" s="55" t="n">
        <v>2</v>
      </c>
      <c r="L24" s="55" t="n">
        <v>2.6</v>
      </c>
      <c r="M24" s="55" t="n">
        <v>2.6</v>
      </c>
      <c r="N24" s="55" t="n">
        <v>4.4</v>
      </c>
      <c r="O24" s="55" t="n">
        <v>4.4</v>
      </c>
      <c r="P24" s="55" t="n">
        <v>1.4</v>
      </c>
      <c r="Q24" s="55" t="n">
        <v>1.4</v>
      </c>
      <c r="R24" s="55" t="n">
        <v>2.9</v>
      </c>
      <c r="S24" s="55" t="n">
        <v>2.9</v>
      </c>
      <c r="T24" s="55" t="n">
        <v>1.3</v>
      </c>
      <c r="U24" s="55" t="n">
        <v>1.3</v>
      </c>
      <c r="V24" s="55" t="n">
        <v>0.6</v>
      </c>
      <c r="W24" s="55" t="n">
        <v>0.6</v>
      </c>
      <c r="X24" t="n">
        <v>2.8</v>
      </c>
      <c r="Y24" t="n">
        <v>2.8</v>
      </c>
      <c r="Z24" t="n">
        <v>2.9</v>
      </c>
      <c r="AA24" t="n">
        <v>2.9</v>
      </c>
      <c r="AB24" t="n">
        <v>1.8</v>
      </c>
      <c r="AC24" t="n">
        <v>1.8</v>
      </c>
      <c r="AD24" t="n">
        <v>0.5</v>
      </c>
      <c r="AE24" t="n">
        <v>0.5</v>
      </c>
      <c r="AF24" t="n">
        <v>-0.8</v>
      </c>
      <c r="AG24" t="n">
        <v>-0.8</v>
      </c>
      <c r="AH24" t="n">
        <v>-0.6</v>
      </c>
      <c r="AI24" t="n">
        <v>-0.6</v>
      </c>
      <c r="AJ24" t="n">
        <v>-1.3</v>
      </c>
      <c r="AK24" t="n">
        <v>-1.3</v>
      </c>
      <c r="AL24" t="n">
        <v>-1.4</v>
      </c>
      <c r="AM24" t="n">
        <v>-1.4</v>
      </c>
      <c r="AN24" t="n">
        <v>-2.2</v>
      </c>
      <c r="AO24" t="n">
        <v>-2.2</v>
      </c>
      <c r="AP24" t="n">
        <v>-2</v>
      </c>
      <c r="AQ24" t="n">
        <v>-2</v>
      </c>
    </row>
    <row r="25"/>
    <row r="26">
      <c r="C26" s="55" t="inlineStr">
        <is>
          <t>Net Interest Expenses</t>
        </is>
      </c>
      <c r="D26" s="55" t="n">
        <v>-0.3</v>
      </c>
      <c r="E26" s="55" t="n">
        <v>-0.3</v>
      </c>
      <c r="F26" s="55" t="n">
        <v>-0.5</v>
      </c>
      <c r="G26" s="55" t="n">
        <v>-0.5</v>
      </c>
      <c r="H26" s="55" t="n">
        <v>-0.1</v>
      </c>
      <c r="I26" s="55" t="n">
        <v>-0.1</v>
      </c>
      <c r="J26" s="55" t="n">
        <v>0.1</v>
      </c>
      <c r="K26" s="55" t="n">
        <v>0.1</v>
      </c>
      <c r="L26" s="55" t="n">
        <v>0.1</v>
      </c>
      <c r="M26" s="55" t="n">
        <v>0.1</v>
      </c>
      <c r="N26" s="55" t="n">
        <v>0</v>
      </c>
      <c r="O26" s="55" t="n">
        <v>0</v>
      </c>
      <c r="P26" s="55" t="n">
        <v>0.1</v>
      </c>
      <c r="Q26" s="55" t="n">
        <v>0.1</v>
      </c>
      <c r="R26" s="55" t="n">
        <v>0</v>
      </c>
      <c r="S26" s="55" t="n">
        <v>0</v>
      </c>
      <c r="T26" s="55" t="n">
        <v>0.1</v>
      </c>
      <c r="U26" s="55" t="n">
        <v>0.1</v>
      </c>
      <c r="V26" s="55" t="n">
        <v>0</v>
      </c>
      <c r="W26" s="55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0.1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0.1</v>
      </c>
      <c r="AO26" t="n">
        <v>0.1</v>
      </c>
      <c r="AP26" t="n">
        <v>0</v>
      </c>
      <c r="AQ26" t="n">
        <v>0</v>
      </c>
    </row>
    <row r="27">
      <c r="C27" s="55" t="inlineStr">
        <is>
          <t>EBT, Incl. Unusual Items</t>
        </is>
      </c>
      <c r="D27" s="55" t="n">
        <v>2.2</v>
      </c>
      <c r="E27" s="55" t="n">
        <v>2.2</v>
      </c>
      <c r="F27" s="55" t="n">
        <v>0.7</v>
      </c>
      <c r="G27" s="55" t="n">
        <v>0.7</v>
      </c>
      <c r="H27" s="55" t="n">
        <v>19.5</v>
      </c>
      <c r="I27" s="55" t="n">
        <v>19.5</v>
      </c>
      <c r="J27" s="55" t="n">
        <v>2.1</v>
      </c>
      <c r="K27" s="55" t="n">
        <v>2.1</v>
      </c>
      <c r="L27" s="55" t="n">
        <v>2.7</v>
      </c>
      <c r="M27" s="55" t="n">
        <v>2.7</v>
      </c>
      <c r="N27" s="55" t="n">
        <v>4.4</v>
      </c>
      <c r="O27" s="55" t="n">
        <v>4.4</v>
      </c>
      <c r="P27" s="55" t="n">
        <v>1.5</v>
      </c>
      <c r="Q27" s="55" t="n">
        <v>1.5</v>
      </c>
      <c r="R27" s="55" t="n">
        <v>2.9</v>
      </c>
      <c r="S27" s="55" t="n">
        <v>2.9</v>
      </c>
      <c r="T27" s="55" t="n">
        <v>1.4</v>
      </c>
      <c r="U27" s="55" t="n">
        <v>1.4</v>
      </c>
      <c r="V27" s="55" t="n">
        <v>0.6</v>
      </c>
      <c r="W27" s="55" t="n">
        <v>0.6</v>
      </c>
      <c r="X27" t="n">
        <v>2.8</v>
      </c>
      <c r="Y27" t="n">
        <v>2.8</v>
      </c>
      <c r="Z27" t="n">
        <v>2.9</v>
      </c>
      <c r="AA27" t="n">
        <v>2.9</v>
      </c>
      <c r="AB27" t="n">
        <v>1.8</v>
      </c>
      <c r="AC27" t="n">
        <v>1.8</v>
      </c>
      <c r="AD27" t="n">
        <v>0.5</v>
      </c>
      <c r="AE27" t="n">
        <v>0.5</v>
      </c>
      <c r="AF27" t="n">
        <v>-0.8</v>
      </c>
      <c r="AG27" t="n">
        <v>-0.8</v>
      </c>
      <c r="AH27" t="n">
        <v>-0.5</v>
      </c>
      <c r="AI27" t="n">
        <v>-0.5</v>
      </c>
      <c r="AJ27" t="n">
        <v>-1.2</v>
      </c>
      <c r="AK27" t="n">
        <v>-1.2</v>
      </c>
      <c r="AL27" t="n">
        <v>-1.3</v>
      </c>
      <c r="AM27" t="n">
        <v>-1.3</v>
      </c>
      <c r="AN27" t="n">
        <v>-2.1</v>
      </c>
      <c r="AO27" t="n">
        <v>-2.1</v>
      </c>
      <c r="AP27" t="n">
        <v>-2.1</v>
      </c>
      <c r="AQ27" t="n">
        <v>-2.1</v>
      </c>
    </row>
    <row r="28">
      <c r="C28" s="55" t="inlineStr">
        <is>
          <t>Earnings of Discontinued Ops.</t>
        </is>
      </c>
      <c r="D28" s="55" t="inlineStr"/>
      <c r="E28" s="55" t="inlineStr"/>
      <c r="F28" s="55" t="inlineStr"/>
      <c r="G28" s="55" t="inlineStr"/>
      <c r="H28" s="55" t="inlineStr"/>
      <c r="I28" s="55" t="inlineStr"/>
      <c r="J28" s="55" t="inlineStr"/>
      <c r="K28" s="55" t="inlineStr"/>
      <c r="L28" s="55" t="inlineStr"/>
      <c r="M28" s="55" t="inlineStr"/>
      <c r="N28" s="55" t="inlineStr"/>
      <c r="O28" s="55" t="inlineStr"/>
      <c r="P28" s="55" t="inlineStr"/>
      <c r="Q28" s="55" t="inlineStr"/>
      <c r="R28" s="55" t="inlineStr"/>
      <c r="S28" s="55" t="inlineStr"/>
      <c r="T28" s="55" t="inlineStr"/>
      <c r="U28" s="55" t="inlineStr"/>
      <c r="V28" s="55" t="inlineStr"/>
      <c r="W28" s="55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C29" s="55" t="inlineStr">
        <is>
          <t>Income Tax Expense</t>
        </is>
      </c>
      <c r="D29" s="55" t="n">
        <v>-0.5</v>
      </c>
      <c r="E29" s="55" t="n">
        <v>-0.5</v>
      </c>
      <c r="F29" s="55" t="n">
        <v>0.4</v>
      </c>
      <c r="G29" s="55" t="n">
        <v>0.4</v>
      </c>
      <c r="H29" s="55" t="n">
        <v>-0.7</v>
      </c>
      <c r="I29" s="55" t="n">
        <v>-0.7</v>
      </c>
      <c r="J29" s="55" t="n">
        <v>-0.2</v>
      </c>
      <c r="K29" s="55" t="n">
        <v>-0.2</v>
      </c>
      <c r="L29" s="55" t="n">
        <v>-0.2</v>
      </c>
      <c r="M29" s="55" t="n">
        <v>-0.2</v>
      </c>
      <c r="N29" s="55" t="n">
        <v>-0.5</v>
      </c>
      <c r="O29" s="55" t="n">
        <v>-0.5</v>
      </c>
      <c r="P29" s="55" t="n">
        <v>-1</v>
      </c>
      <c r="Q29" s="55" t="n">
        <v>-1</v>
      </c>
      <c r="R29" s="55" t="n">
        <v>-0.7</v>
      </c>
      <c r="S29" s="55" t="n">
        <v>-0.7</v>
      </c>
      <c r="T29" s="55" t="n">
        <v>0.8</v>
      </c>
      <c r="U29" s="55" t="n">
        <v>0.8</v>
      </c>
      <c r="V29" s="55" t="n">
        <v>-0.5</v>
      </c>
      <c r="W29" s="55" t="n">
        <v>-0.5</v>
      </c>
      <c r="X29" t="n">
        <v>-0.7</v>
      </c>
      <c r="Y29" t="n">
        <v>-0.7</v>
      </c>
      <c r="Z29" t="n">
        <v>-0.8</v>
      </c>
      <c r="AA29" t="n">
        <v>-0.8</v>
      </c>
      <c r="AB29" t="n">
        <v>-1</v>
      </c>
      <c r="AC29" t="n">
        <v>-1</v>
      </c>
      <c r="AD29" t="n">
        <v>-0.5</v>
      </c>
      <c r="AE29" t="n">
        <v>-0.5</v>
      </c>
      <c r="AF29" t="n">
        <v>-0.4</v>
      </c>
      <c r="AG29" t="n">
        <v>-0.4</v>
      </c>
      <c r="AH29" t="n">
        <v>-0.5</v>
      </c>
      <c r="AI29" t="n">
        <v>-0.5</v>
      </c>
      <c r="AJ29" t="n">
        <v>0.3</v>
      </c>
      <c r="AK29" t="n">
        <v>0.3</v>
      </c>
      <c r="AL29" t="n">
        <v>-0.3</v>
      </c>
      <c r="AM29" t="n">
        <v>-0.3</v>
      </c>
      <c r="AN29" t="n">
        <v>-0.2</v>
      </c>
      <c r="AO29" t="n">
        <v>-0.2</v>
      </c>
      <c r="AP29" t="n">
        <v>-0.3</v>
      </c>
      <c r="AQ29" t="n">
        <v>-0.3</v>
      </c>
    </row>
    <row r="30">
      <c r="C30" s="55" t="inlineStr">
        <is>
          <t>Net Income to Company</t>
        </is>
      </c>
      <c r="D30" s="55" t="n">
        <v>1.7</v>
      </c>
      <c r="E30" s="55" t="n">
        <v>1.7</v>
      </c>
      <c r="F30" s="55" t="n">
        <v>1.1</v>
      </c>
      <c r="G30" s="55" t="n">
        <v>1.1</v>
      </c>
      <c r="H30" s="55" t="n">
        <v>18.8</v>
      </c>
      <c r="I30" s="55" t="n">
        <v>18.8</v>
      </c>
      <c r="J30" s="55" t="n">
        <v>1.8</v>
      </c>
      <c r="K30" s="55" t="n">
        <v>1.8</v>
      </c>
      <c r="L30" s="55" t="n">
        <v>2.5</v>
      </c>
      <c r="M30" s="55" t="n">
        <v>2.5</v>
      </c>
      <c r="N30" s="55" t="n">
        <v>3.9</v>
      </c>
      <c r="O30" s="55" t="n">
        <v>3.9</v>
      </c>
      <c r="P30" s="55" t="n">
        <v>0.5</v>
      </c>
      <c r="Q30" s="55" t="n">
        <v>0.5</v>
      </c>
      <c r="R30" s="55" t="n">
        <v>2.1</v>
      </c>
      <c r="S30" s="55" t="n">
        <v>2.1</v>
      </c>
      <c r="T30" s="55" t="n">
        <v>2.2</v>
      </c>
      <c r="U30" s="55" t="n">
        <v>2.2</v>
      </c>
      <c r="V30" s="55" t="n">
        <v>0</v>
      </c>
      <c r="W30" s="55" t="n">
        <v>0</v>
      </c>
      <c r="X30" t="n">
        <v>2.1</v>
      </c>
      <c r="Y30" t="n">
        <v>2.1</v>
      </c>
      <c r="Z30" t="n">
        <v>2.1</v>
      </c>
      <c r="AA30" t="n">
        <v>2.1</v>
      </c>
      <c r="AB30" t="n">
        <v>0.8</v>
      </c>
      <c r="AC30" t="n">
        <v>0.8</v>
      </c>
      <c r="AD30" t="n">
        <v>0</v>
      </c>
      <c r="AE30" t="n">
        <v>0</v>
      </c>
      <c r="AF30" t="n">
        <v>-1.2</v>
      </c>
      <c r="AG30" t="n">
        <v>-1.2</v>
      </c>
      <c r="AH30" t="n">
        <v>-0.9</v>
      </c>
      <c r="AI30" t="n">
        <v>-0.9</v>
      </c>
      <c r="AJ30" t="n">
        <v>-1</v>
      </c>
      <c r="AK30" t="n">
        <v>-1</v>
      </c>
      <c r="AL30" t="n">
        <v>-1.6</v>
      </c>
      <c r="AM30" t="n">
        <v>-1.6</v>
      </c>
      <c r="AN30" t="n">
        <v>-2.2</v>
      </c>
      <c r="AO30" t="n">
        <v>-2.2</v>
      </c>
      <c r="AP30" t="n">
        <v>-2.4</v>
      </c>
      <c r="AQ30" t="n">
        <v>-2.4</v>
      </c>
    </row>
    <row r="31"/>
    <row r="32">
      <c r="C32" s="55" t="inlineStr">
        <is>
          <t>Minority Interest in Earnings</t>
        </is>
      </c>
      <c r="D32" s="55" t="inlineStr"/>
      <c r="E32" s="55" t="inlineStr"/>
      <c r="F32" s="55" t="inlineStr"/>
      <c r="G32" s="55" t="inlineStr"/>
      <c r="H32" s="55" t="inlineStr"/>
      <c r="I32" s="55" t="inlineStr"/>
      <c r="J32" s="55" t="inlineStr"/>
      <c r="K32" s="55" t="inlineStr"/>
      <c r="L32" s="55" t="inlineStr"/>
      <c r="M32" s="55" t="inlineStr"/>
      <c r="N32" s="55" t="inlineStr"/>
      <c r="O32" s="55" t="inlineStr"/>
      <c r="P32" s="55" t="inlineStr"/>
      <c r="Q32" s="55" t="inlineStr"/>
      <c r="R32" s="55" t="inlineStr"/>
      <c r="S32" s="55" t="inlineStr"/>
      <c r="T32" s="55" t="inlineStr"/>
      <c r="U32" s="55" t="inlineStr"/>
      <c r="V32" s="55" t="inlineStr"/>
      <c r="W32" s="55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C33" s="55" t="inlineStr">
        <is>
          <t>Net Income to Stockholders</t>
        </is>
      </c>
      <c r="D33" s="55" t="n">
        <v>1.7</v>
      </c>
      <c r="E33" s="55" t="n">
        <v>1.7</v>
      </c>
      <c r="F33" s="55" t="n">
        <v>1.1</v>
      </c>
      <c r="G33" s="55" t="n">
        <v>1.1</v>
      </c>
      <c r="H33" s="55" t="n">
        <v>18.8</v>
      </c>
      <c r="I33" s="55" t="n">
        <v>18.8</v>
      </c>
      <c r="J33" s="55" t="n">
        <v>1.8</v>
      </c>
      <c r="K33" s="55" t="n">
        <v>1.8</v>
      </c>
      <c r="L33" s="55" t="n">
        <v>2.5</v>
      </c>
      <c r="M33" s="55" t="n">
        <v>2.5</v>
      </c>
      <c r="N33" s="55" t="n">
        <v>3.9</v>
      </c>
      <c r="O33" s="55" t="n">
        <v>3.9</v>
      </c>
      <c r="P33" s="55" t="n">
        <v>0.5</v>
      </c>
      <c r="Q33" s="55" t="n">
        <v>0.5</v>
      </c>
      <c r="R33" s="55" t="n">
        <v>2.1</v>
      </c>
      <c r="S33" s="55" t="n">
        <v>2.1</v>
      </c>
      <c r="T33" s="55" t="n">
        <v>2.2</v>
      </c>
      <c r="U33" s="55" t="n">
        <v>2.2</v>
      </c>
      <c r="V33" s="55" t="n">
        <v>0</v>
      </c>
      <c r="W33" s="55" t="n">
        <v>0</v>
      </c>
      <c r="X33" t="n">
        <v>2.1</v>
      </c>
      <c r="Y33" t="n">
        <v>2.1</v>
      </c>
      <c r="Z33" t="n">
        <v>2.1</v>
      </c>
      <c r="AA33" t="n">
        <v>2.1</v>
      </c>
      <c r="AB33" t="n">
        <v>0.8</v>
      </c>
      <c r="AC33" t="n">
        <v>0.8</v>
      </c>
      <c r="AD33" t="n">
        <v>0</v>
      </c>
      <c r="AE33" t="n">
        <v>0</v>
      </c>
      <c r="AF33" t="n">
        <v>-1.2</v>
      </c>
      <c r="AG33" t="n">
        <v>-1.2</v>
      </c>
      <c r="AH33" t="n">
        <v>-0.9</v>
      </c>
      <c r="AI33" t="n">
        <v>-0.9</v>
      </c>
      <c r="AJ33" t="n">
        <v>-1</v>
      </c>
      <c r="AK33" t="n">
        <v>-1</v>
      </c>
      <c r="AL33" t="n">
        <v>-1.6</v>
      </c>
      <c r="AM33" t="n">
        <v>-1.6</v>
      </c>
      <c r="AN33" t="n">
        <v>-2.2</v>
      </c>
      <c r="AO33" t="n">
        <v>-2.2</v>
      </c>
      <c r="AP33" t="n">
        <v>-2.4</v>
      </c>
      <c r="AQ33" t="n">
        <v>-2.4</v>
      </c>
    </row>
    <row r="34"/>
    <row r="35">
      <c r="C35" s="55" t="inlineStr">
        <is>
          <t>Preferred Dividends &amp; Other Adj.</t>
        </is>
      </c>
      <c r="D35" s="55" t="n">
        <v>0</v>
      </c>
      <c r="E35" s="55" t="n">
        <v>0</v>
      </c>
      <c r="F35" s="55" t="n">
        <v>0</v>
      </c>
      <c r="G35" s="55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55" t="n">
        <v>0</v>
      </c>
      <c r="V35" s="55" t="n">
        <v>0</v>
      </c>
      <c r="W35" s="5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C36" s="55" t="inlineStr">
        <is>
          <t>Net Income to Common Excl Extra Items</t>
        </is>
      </c>
      <c r="D36" s="55" t="n">
        <v>1.7</v>
      </c>
      <c r="E36" s="55" t="n">
        <v>1.7</v>
      </c>
      <c r="F36" s="55" t="n">
        <v>1.1</v>
      </c>
      <c r="G36" s="55" t="n">
        <v>1.1</v>
      </c>
      <c r="H36" s="55" t="n">
        <v>18.8</v>
      </c>
      <c r="I36" s="55" t="n">
        <v>18.8</v>
      </c>
      <c r="J36" s="55" t="n">
        <v>1.8</v>
      </c>
      <c r="K36" s="55" t="n">
        <v>1.8</v>
      </c>
      <c r="L36" s="55" t="n">
        <v>2.5</v>
      </c>
      <c r="M36" s="55" t="n">
        <v>2.5</v>
      </c>
      <c r="N36" s="55" t="n">
        <v>3.9</v>
      </c>
      <c r="O36" s="55" t="n">
        <v>3.9</v>
      </c>
      <c r="P36" s="55" t="n">
        <v>0.5</v>
      </c>
      <c r="Q36" s="55" t="n">
        <v>0.5</v>
      </c>
      <c r="R36" s="55" t="n">
        <v>2.1</v>
      </c>
      <c r="S36" s="55" t="n">
        <v>2.1</v>
      </c>
      <c r="T36" s="55" t="n">
        <v>2.2</v>
      </c>
      <c r="U36" s="55" t="n">
        <v>2.2</v>
      </c>
      <c r="V36" s="55" t="n">
        <v>0</v>
      </c>
      <c r="W36" s="55" t="n">
        <v>0</v>
      </c>
      <c r="X36" t="n">
        <v>2.1</v>
      </c>
      <c r="Y36" t="n">
        <v>2.1</v>
      </c>
      <c r="Z36" t="n">
        <v>2.1</v>
      </c>
      <c r="AA36" t="n">
        <v>2.1</v>
      </c>
      <c r="AB36" t="n">
        <v>0.8</v>
      </c>
      <c r="AC36" t="n">
        <v>0.8</v>
      </c>
      <c r="AD36" t="n">
        <v>0</v>
      </c>
      <c r="AE36" t="n">
        <v>0</v>
      </c>
      <c r="AF36" t="n">
        <v>-1.2</v>
      </c>
      <c r="AG36" t="n">
        <v>-1.2</v>
      </c>
      <c r="AH36" t="n">
        <v>-0.9</v>
      </c>
      <c r="AI36" t="n">
        <v>-0.9</v>
      </c>
      <c r="AJ36" t="n">
        <v>-1</v>
      </c>
      <c r="AK36" t="n">
        <v>-1</v>
      </c>
      <c r="AL36" t="n">
        <v>-1.6</v>
      </c>
      <c r="AM36" t="n">
        <v>-1.6</v>
      </c>
      <c r="AN36" t="n">
        <v>-2.2</v>
      </c>
      <c r="AO36" t="n">
        <v>-2.2</v>
      </c>
      <c r="AP36" t="n">
        <v>-2.4</v>
      </c>
      <c r="AQ36" t="n">
        <v>-2.4</v>
      </c>
    </row>
    <row r="37"/>
    <row r="38">
      <c r="C38" s="55" t="inlineStr">
        <is>
          <t>Basic EPS (Cont. Ops)</t>
        </is>
      </c>
      <c r="D38" s="55" t="n">
        <v>2.36</v>
      </c>
      <c r="E38" s="55" t="n">
        <v>2.36</v>
      </c>
      <c r="F38" s="55" t="n">
        <v>1.54</v>
      </c>
      <c r="G38" s="55" t="n">
        <v>1.54</v>
      </c>
      <c r="H38" s="55" t="n">
        <v>25.69</v>
      </c>
      <c r="I38" s="55" t="n">
        <v>25.69</v>
      </c>
      <c r="J38" s="55" t="n">
        <v>2.51</v>
      </c>
      <c r="K38" s="55" t="n">
        <v>2.51</v>
      </c>
      <c r="L38" s="55" t="n">
        <v>3.48</v>
      </c>
      <c r="M38" s="55" t="n">
        <v>3.48</v>
      </c>
      <c r="N38" s="55" t="n">
        <v>5.37</v>
      </c>
      <c r="O38" s="55" t="n">
        <v>5.37</v>
      </c>
      <c r="P38" s="55" t="n">
        <v>0.64</v>
      </c>
      <c r="Q38" s="55" t="n">
        <v>0.64</v>
      </c>
      <c r="R38" s="55" t="n">
        <v>2.91</v>
      </c>
      <c r="S38" s="55" t="n">
        <v>2.91</v>
      </c>
      <c r="T38" s="55" t="n">
        <v>3.02</v>
      </c>
      <c r="U38" s="55" t="n">
        <v>3.02</v>
      </c>
      <c r="V38" s="55" t="n">
        <v>0.033</v>
      </c>
      <c r="W38" s="55" t="n">
        <v>0.033</v>
      </c>
      <c r="X38" t="n">
        <v>2.91</v>
      </c>
      <c r="Y38" t="n">
        <v>2.91</v>
      </c>
      <c r="Z38" t="n">
        <v>2.92</v>
      </c>
      <c r="AA38" t="n">
        <v>2.92</v>
      </c>
      <c r="AB38" t="n">
        <v>1.11</v>
      </c>
      <c r="AC38" t="n">
        <v>1.11</v>
      </c>
      <c r="AD38" t="n">
        <v>-0.03</v>
      </c>
      <c r="AE38" t="n">
        <v>-0.03</v>
      </c>
      <c r="AF38" t="n">
        <v>-1.58</v>
      </c>
      <c r="AG38" t="n">
        <v>-1.58</v>
      </c>
      <c r="AH38" t="n">
        <v>-1.27</v>
      </c>
      <c r="AI38" t="n">
        <v>-1.27</v>
      </c>
      <c r="AJ38" t="n">
        <v>-1.37</v>
      </c>
      <c r="AK38" t="n">
        <v>-1.37</v>
      </c>
      <c r="AL38" t="n">
        <v>-2.24</v>
      </c>
      <c r="AM38" t="n">
        <v>-2.24</v>
      </c>
      <c r="AN38" t="n">
        <v>-3.08</v>
      </c>
      <c r="AO38" t="n">
        <v>-3.08</v>
      </c>
      <c r="AP38" t="n">
        <v>-3.23</v>
      </c>
      <c r="AQ38" t="n">
        <v>-3.23</v>
      </c>
    </row>
    <row r="39">
      <c r="C39" s="55" t="inlineStr">
        <is>
          <t>Diluted EPS (Cont. Ops)</t>
        </is>
      </c>
      <c r="D39" s="55" t="n">
        <v>2.36</v>
      </c>
      <c r="E39" s="55" t="n">
        <v>2.36</v>
      </c>
      <c r="F39" s="55" t="n">
        <v>1.54</v>
      </c>
      <c r="G39" s="55" t="n">
        <v>1.54</v>
      </c>
      <c r="H39" s="55" t="n">
        <v>25.69</v>
      </c>
      <c r="I39" s="55" t="n">
        <v>25.69</v>
      </c>
      <c r="J39" s="55" t="n">
        <v>2.51</v>
      </c>
      <c r="K39" s="55" t="n">
        <v>2.51</v>
      </c>
      <c r="L39" s="55" t="n">
        <v>3.48</v>
      </c>
      <c r="M39" s="55" t="n">
        <v>3.48</v>
      </c>
      <c r="N39" s="55" t="n">
        <v>5.37</v>
      </c>
      <c r="O39" s="55" t="n">
        <v>5.37</v>
      </c>
      <c r="P39" s="55" t="n">
        <v>0.64</v>
      </c>
      <c r="Q39" s="55" t="n">
        <v>0.64</v>
      </c>
      <c r="R39" s="55" t="n">
        <v>2.91</v>
      </c>
      <c r="S39" s="55" t="n">
        <v>2.91</v>
      </c>
      <c r="T39" s="55" t="n">
        <v>3.02</v>
      </c>
      <c r="U39" s="55" t="n">
        <v>3.02</v>
      </c>
      <c r="V39" s="55" t="n">
        <v>0.033</v>
      </c>
      <c r="W39" s="55" t="n">
        <v>0.033</v>
      </c>
      <c r="X39" t="n">
        <v>2.91</v>
      </c>
      <c r="Y39" t="n">
        <v>2.91</v>
      </c>
      <c r="Z39" t="n">
        <v>2.92</v>
      </c>
      <c r="AA39" t="n">
        <v>2.92</v>
      </c>
      <c r="AB39" t="n">
        <v>1.11</v>
      </c>
      <c r="AC39" t="n">
        <v>1.11</v>
      </c>
      <c r="AD39" t="n">
        <v>-0.03</v>
      </c>
      <c r="AE39" t="n">
        <v>-0.03</v>
      </c>
      <c r="AF39" t="n">
        <v>-1.58</v>
      </c>
      <c r="AG39" t="n">
        <v>-1.58</v>
      </c>
      <c r="AH39" t="n">
        <v>-1.27</v>
      </c>
      <c r="AI39" t="n">
        <v>-1.27</v>
      </c>
      <c r="AJ39" t="n">
        <v>-1.37</v>
      </c>
      <c r="AK39" t="n">
        <v>-1.37</v>
      </c>
      <c r="AL39" t="n">
        <v>-2.24</v>
      </c>
      <c r="AM39" t="n">
        <v>-2.24</v>
      </c>
      <c r="AN39" t="n">
        <v>-3.08</v>
      </c>
      <c r="AO39" t="n">
        <v>-3.08</v>
      </c>
      <c r="AP39" t="n">
        <v>-3.23</v>
      </c>
      <c r="AQ39" t="n">
        <v>-3.23</v>
      </c>
    </row>
    <row r="40">
      <c r="C40" s="55" t="inlineStr">
        <is>
          <t>Weighted Average Basic Shares Out.</t>
        </is>
      </c>
      <c r="D40" s="55" t="n">
        <v>0.7</v>
      </c>
      <c r="E40" s="55" t="n">
        <v>0.7</v>
      </c>
      <c r="F40" s="55" t="n">
        <v>0.7</v>
      </c>
      <c r="G40" s="55" t="n">
        <v>0.7</v>
      </c>
      <c r="H40" s="55" t="n">
        <v>0.7</v>
      </c>
      <c r="I40" s="55" t="n">
        <v>0.7</v>
      </c>
      <c r="J40" s="55" t="n">
        <v>0.7</v>
      </c>
      <c r="K40" s="55" t="n">
        <v>0.7</v>
      </c>
      <c r="L40" s="55" t="n">
        <v>0.7</v>
      </c>
      <c r="M40" s="55" t="n">
        <v>0.7</v>
      </c>
      <c r="N40" s="55" t="n">
        <v>0.7</v>
      </c>
      <c r="O40" s="55" t="n">
        <v>0.7</v>
      </c>
      <c r="P40" s="55" t="n">
        <v>0.7</v>
      </c>
      <c r="Q40" s="55" t="n">
        <v>0.7</v>
      </c>
      <c r="R40" s="55" t="n">
        <v>0.7</v>
      </c>
      <c r="S40" s="55" t="n">
        <v>0.7</v>
      </c>
      <c r="T40" s="55" t="n">
        <v>0.7</v>
      </c>
      <c r="U40" s="55" t="n">
        <v>0.7</v>
      </c>
      <c r="V40" s="55" t="n">
        <v>0.7</v>
      </c>
      <c r="W40" s="55" t="n">
        <v>0.7</v>
      </c>
      <c r="X40" t="n">
        <v>0.7</v>
      </c>
      <c r="Y40" t="n">
        <v>0.7</v>
      </c>
      <c r="Z40" t="n">
        <v>0.7</v>
      </c>
      <c r="AA40" t="n">
        <v>0.7</v>
      </c>
      <c r="AB40" t="n">
        <v>0.7</v>
      </c>
      <c r="AC40" t="n">
        <v>0.7</v>
      </c>
      <c r="AD40" t="n">
        <v>0.7</v>
      </c>
      <c r="AE40" t="n">
        <v>0.7</v>
      </c>
      <c r="AF40" t="n">
        <v>0.7</v>
      </c>
      <c r="AG40" t="n">
        <v>0.7</v>
      </c>
      <c r="AH40" t="n">
        <v>0.7</v>
      </c>
      <c r="AI40" t="n">
        <v>0.7</v>
      </c>
      <c r="AJ40" t="n">
        <v>0.7</v>
      </c>
      <c r="AK40" t="n">
        <v>0.7</v>
      </c>
      <c r="AL40" t="n">
        <v>0.7</v>
      </c>
      <c r="AM40" t="n">
        <v>0.7</v>
      </c>
      <c r="AN40" t="n">
        <v>0.7</v>
      </c>
      <c r="AO40" t="n">
        <v>0.7</v>
      </c>
      <c r="AP40" t="n">
        <v>0.7</v>
      </c>
      <c r="AQ40" t="n">
        <v>0.7</v>
      </c>
    </row>
    <row r="41">
      <c r="C41" s="55" t="inlineStr">
        <is>
          <t>Weighted Average Diluted Shares Out.</t>
        </is>
      </c>
      <c r="D41" s="55" t="n">
        <v>0.7</v>
      </c>
      <c r="E41" s="55" t="n">
        <v>0.7</v>
      </c>
      <c r="F41" s="55" t="n">
        <v>0.7</v>
      </c>
      <c r="G41" s="55" t="n">
        <v>0.7</v>
      </c>
      <c r="H41" s="55" t="n">
        <v>0.7</v>
      </c>
      <c r="I41" s="55" t="n">
        <v>0.7</v>
      </c>
      <c r="J41" s="55" t="n">
        <v>0.7</v>
      </c>
      <c r="K41" s="55" t="n">
        <v>0.7</v>
      </c>
      <c r="L41" s="55" t="n">
        <v>0.7</v>
      </c>
      <c r="M41" s="55" t="n">
        <v>0.7</v>
      </c>
      <c r="N41" s="55" t="n">
        <v>0.7</v>
      </c>
      <c r="O41" s="55" t="n">
        <v>0.7</v>
      </c>
      <c r="P41" s="55" t="n">
        <v>0.7</v>
      </c>
      <c r="Q41" s="55" t="n">
        <v>0.7</v>
      </c>
      <c r="R41" s="55" t="n">
        <v>0.7</v>
      </c>
      <c r="S41" s="55" t="n">
        <v>0.7</v>
      </c>
      <c r="T41" s="55" t="n">
        <v>0.7</v>
      </c>
      <c r="U41" s="55" t="n">
        <v>0.7</v>
      </c>
      <c r="V41" s="55" t="n">
        <v>0.7</v>
      </c>
      <c r="W41" s="55" t="n">
        <v>0.7</v>
      </c>
      <c r="X41" t="n">
        <v>0.7</v>
      </c>
      <c r="Y41" t="n">
        <v>0.7</v>
      </c>
      <c r="Z41" t="n">
        <v>0.7</v>
      </c>
      <c r="AA41" t="n">
        <v>0.7</v>
      </c>
      <c r="AB41" t="n">
        <v>0.7</v>
      </c>
      <c r="AC41" t="n">
        <v>0.7</v>
      </c>
      <c r="AD41" t="n">
        <v>0.7</v>
      </c>
      <c r="AE41" t="n">
        <v>0.7</v>
      </c>
      <c r="AF41" t="n">
        <v>0.7</v>
      </c>
      <c r="AG41" t="n">
        <v>0.7</v>
      </c>
      <c r="AH41" t="n">
        <v>0.7</v>
      </c>
      <c r="AI41" t="n">
        <v>0.7</v>
      </c>
      <c r="AJ41" t="n">
        <v>0.7</v>
      </c>
      <c r="AK41" t="n">
        <v>0.7</v>
      </c>
      <c r="AL41" t="n">
        <v>0.7</v>
      </c>
      <c r="AM41" t="n">
        <v>0.7</v>
      </c>
      <c r="AN41" t="n">
        <v>0.7</v>
      </c>
      <c r="AO41" t="n">
        <v>0.7</v>
      </c>
      <c r="AP41" t="n">
        <v>0.7</v>
      </c>
      <c r="AQ41" t="n">
        <v>0.7</v>
      </c>
    </row>
    <row r="42"/>
    <row r="43">
      <c r="C43" s="55" t="inlineStr">
        <is>
          <t>EBITDA</t>
        </is>
      </c>
      <c r="D43" s="55" t="n">
        <v>6</v>
      </c>
      <c r="E43" s="55" t="n">
        <v>6</v>
      </c>
      <c r="F43" s="55" t="n">
        <v>5.1</v>
      </c>
      <c r="G43" s="55" t="n">
        <v>5.1</v>
      </c>
      <c r="H43" s="55" t="n">
        <v>5.5</v>
      </c>
      <c r="I43" s="55" t="n">
        <v>5.5</v>
      </c>
      <c r="J43" s="55" t="n">
        <v>4.6</v>
      </c>
      <c r="K43" s="55" t="n">
        <v>4.6</v>
      </c>
      <c r="L43" s="55" t="n">
        <v>4.5</v>
      </c>
      <c r="M43" s="55" t="n">
        <v>4.5</v>
      </c>
      <c r="N43" s="55" t="n">
        <v>5.5</v>
      </c>
      <c r="O43" s="55" t="n">
        <v>5.5</v>
      </c>
      <c r="P43" s="55" t="n">
        <v>4.3</v>
      </c>
      <c r="Q43" s="55" t="n">
        <v>4.3</v>
      </c>
      <c r="R43" s="55" t="n">
        <v>5</v>
      </c>
      <c r="S43" s="55" t="n">
        <v>5</v>
      </c>
      <c r="T43" s="55" t="n">
        <v>3.8</v>
      </c>
      <c r="U43" s="55" t="n">
        <v>3.8</v>
      </c>
      <c r="V43" s="55" t="n">
        <v>2.1</v>
      </c>
      <c r="W43" s="55" t="n">
        <v>2.1</v>
      </c>
      <c r="X43" t="n">
        <v>5.1</v>
      </c>
      <c r="Y43" t="n">
        <v>5.1</v>
      </c>
      <c r="Z43" t="n">
        <v>4.7</v>
      </c>
      <c r="AA43" t="n">
        <v>4.7</v>
      </c>
      <c r="AB43" t="n">
        <v>3.4</v>
      </c>
      <c r="AC43" t="n">
        <v>3.4</v>
      </c>
      <c r="AD43" t="n">
        <v>2.5</v>
      </c>
      <c r="AE43" t="n">
        <v>2.5</v>
      </c>
      <c r="AF43" t="n">
        <v>1.3</v>
      </c>
      <c r="AG43" t="n">
        <v>1.3</v>
      </c>
      <c r="AH43" t="n">
        <v>1.6</v>
      </c>
      <c r="AI43" t="n">
        <v>1.6</v>
      </c>
      <c r="AJ43" t="n">
        <v>0.8</v>
      </c>
      <c r="AK43" t="n">
        <v>0.8</v>
      </c>
      <c r="AL43" t="n">
        <v>0.7</v>
      </c>
      <c r="AM43" t="n">
        <v>0.7</v>
      </c>
      <c r="AN43" t="n">
        <v>0.7</v>
      </c>
      <c r="AO43" t="n">
        <v>0.7</v>
      </c>
      <c r="AP43" t="n">
        <v>0.2</v>
      </c>
      <c r="AQ43" t="n">
        <v>0.2</v>
      </c>
    </row>
    <row r="44">
      <c r="C44" s="55" t="inlineStr">
        <is>
          <t>EBIT</t>
        </is>
      </c>
      <c r="D44" s="55" t="n">
        <v>2.7</v>
      </c>
      <c r="E44" s="55" t="n">
        <v>2.7</v>
      </c>
      <c r="F44" s="55" t="n">
        <v>1.6</v>
      </c>
      <c r="G44" s="55" t="n">
        <v>1.6</v>
      </c>
      <c r="H44" s="55" t="n">
        <v>2.5</v>
      </c>
      <c r="I44" s="55" t="n">
        <v>2.5</v>
      </c>
      <c r="J44" s="55" t="n">
        <v>2.4</v>
      </c>
      <c r="K44" s="55" t="n">
        <v>2.4</v>
      </c>
      <c r="L44" s="55" t="n">
        <v>2.8</v>
      </c>
      <c r="M44" s="55" t="n">
        <v>2.8</v>
      </c>
      <c r="N44" s="55" t="n">
        <v>3.5</v>
      </c>
      <c r="O44" s="55" t="n">
        <v>3.5</v>
      </c>
      <c r="P44" s="55" t="n">
        <v>2.6</v>
      </c>
      <c r="Q44" s="55" t="n">
        <v>2.6</v>
      </c>
      <c r="R44" s="55" t="n">
        <v>3.2</v>
      </c>
      <c r="S44" s="55" t="n">
        <v>3.2</v>
      </c>
      <c r="T44" s="55" t="n">
        <v>1.9</v>
      </c>
      <c r="U44" s="55" t="n">
        <v>1.9</v>
      </c>
      <c r="V44" s="55" t="n">
        <v>0.6</v>
      </c>
      <c r="W44" s="55" t="n">
        <v>0.6</v>
      </c>
      <c r="X44" t="n">
        <v>2.7</v>
      </c>
      <c r="Y44" t="n">
        <v>2.7</v>
      </c>
      <c r="Z44" t="n">
        <v>2.9</v>
      </c>
      <c r="AA44" t="n">
        <v>2.9</v>
      </c>
      <c r="AB44" t="n">
        <v>1.7</v>
      </c>
      <c r="AC44" t="n">
        <v>1.7</v>
      </c>
      <c r="AD44" t="n">
        <v>0.7</v>
      </c>
      <c r="AE44" t="n">
        <v>0.7</v>
      </c>
      <c r="AF44" t="n">
        <v>-0.5</v>
      </c>
      <c r="AG44" t="n">
        <v>-0.5</v>
      </c>
      <c r="AH44" t="n">
        <v>-0.1</v>
      </c>
      <c r="AI44" t="n">
        <v>-0.1</v>
      </c>
      <c r="AJ44" t="n">
        <v>-0.8</v>
      </c>
      <c r="AK44" t="n">
        <v>-0.8</v>
      </c>
      <c r="AL44" t="n">
        <v>-0.9</v>
      </c>
      <c r="AM44" t="n">
        <v>-0.9</v>
      </c>
      <c r="AN44" t="n">
        <v>-0.9</v>
      </c>
      <c r="AO44" t="n">
        <v>-0.9</v>
      </c>
      <c r="AP44" t="n">
        <v>-1.1</v>
      </c>
      <c r="AQ44" t="n">
        <v>-1.1</v>
      </c>
    </row>
    <row r="45"/>
    <row r="46">
      <c r="C46" s="55" t="inlineStr">
        <is>
          <t>Revenue (Reported)</t>
        </is>
      </c>
      <c r="D46" s="55" t="n">
        <v>112.2</v>
      </c>
      <c r="E46" s="55" t="n">
        <v>112.2</v>
      </c>
      <c r="F46" s="55" t="n">
        <v>55.3</v>
      </c>
      <c r="G46" s="55" t="n">
        <v>55.3</v>
      </c>
      <c r="H46" s="55" t="n">
        <v>113.5</v>
      </c>
      <c r="I46" s="55" t="n">
        <v>113.5</v>
      </c>
      <c r="J46" s="55" t="n">
        <v>51.2</v>
      </c>
      <c r="K46" s="55" t="n">
        <v>51.2</v>
      </c>
      <c r="L46" s="55" t="n">
        <v>103.9</v>
      </c>
      <c r="M46" s="55" t="n">
        <v>103.9</v>
      </c>
      <c r="N46" s="55" t="n">
        <v>52</v>
      </c>
      <c r="O46" s="55" t="n">
        <v>52</v>
      </c>
      <c r="P46" s="55" t="n">
        <v>99.09999999999999</v>
      </c>
      <c r="Q46" s="55" t="n">
        <v>99.09999999999999</v>
      </c>
      <c r="R46" s="55" t="n">
        <v>48.3</v>
      </c>
      <c r="S46" s="55" t="n">
        <v>48.3</v>
      </c>
      <c r="T46" s="55" t="n">
        <v>89.40000000000001</v>
      </c>
      <c r="U46" s="55" t="n">
        <v>89.40000000000001</v>
      </c>
      <c r="V46" s="55" t="n">
        <v>30.8</v>
      </c>
      <c r="W46" s="55" t="n">
        <v>30.8</v>
      </c>
      <c r="X46" t="n">
        <v>70.40000000000001</v>
      </c>
      <c r="Y46" t="n">
        <v>70.40000000000001</v>
      </c>
      <c r="Z46" t="n">
        <v>45.2</v>
      </c>
      <c r="AA46" t="n">
        <v>45.2</v>
      </c>
      <c r="AB46" t="n">
        <v>85.40000000000001</v>
      </c>
      <c r="AC46" t="n">
        <v>85.40000000000001</v>
      </c>
      <c r="AD46" t="n">
        <v>45.4</v>
      </c>
      <c r="AE46" t="n">
        <v>45.4</v>
      </c>
      <c r="AF46" t="n">
        <v>93.7</v>
      </c>
      <c r="AG46" t="n">
        <v>93.7</v>
      </c>
      <c r="AH46" t="n">
        <v>45.6</v>
      </c>
      <c r="AI46" t="n">
        <v>45.6</v>
      </c>
      <c r="AJ46" t="n">
        <v>89.59999999999999</v>
      </c>
      <c r="AK46" t="n">
        <v>89.59999999999999</v>
      </c>
      <c r="AL46" t="n">
        <v>45.1</v>
      </c>
      <c r="AM46" t="n">
        <v>45.1</v>
      </c>
      <c r="AN46" t="n">
        <v>87.40000000000001</v>
      </c>
      <c r="AO46" t="n">
        <v>87.40000000000001</v>
      </c>
      <c r="AP46" t="n">
        <v>39.7</v>
      </c>
      <c r="AQ46" t="n">
        <v>39.7</v>
      </c>
    </row>
    <row r="47">
      <c r="C47" s="55" t="inlineStr">
        <is>
          <t>Operating Income (Reported)</t>
        </is>
      </c>
      <c r="D47" s="55" t="n">
        <v>2.8</v>
      </c>
      <c r="E47" s="55" t="n">
        <v>2.8</v>
      </c>
      <c r="F47" s="55" t="n">
        <v>1.6</v>
      </c>
      <c r="G47" s="55" t="n">
        <v>1.6</v>
      </c>
      <c r="H47" s="55" t="n">
        <v>2.5</v>
      </c>
      <c r="I47" s="55" t="n">
        <v>2.5</v>
      </c>
      <c r="J47" s="55" t="n">
        <v>2.4</v>
      </c>
      <c r="K47" s="55" t="n">
        <v>2.4</v>
      </c>
      <c r="L47" s="55" t="n">
        <v>2.9</v>
      </c>
      <c r="M47" s="55" t="n">
        <v>2.9</v>
      </c>
      <c r="N47" s="55" t="n">
        <v>3.5</v>
      </c>
      <c r="O47" s="55" t="n">
        <v>3.5</v>
      </c>
      <c r="P47" s="55" t="n">
        <v>2.7</v>
      </c>
      <c r="Q47" s="55" t="n">
        <v>2.7</v>
      </c>
      <c r="R47" s="55" t="n">
        <v>3.2</v>
      </c>
      <c r="S47" s="55" t="n">
        <v>3.2</v>
      </c>
      <c r="T47" s="55" t="n">
        <v>2</v>
      </c>
      <c r="U47" s="55" t="n">
        <v>2</v>
      </c>
      <c r="V47" s="55" t="n">
        <v>0.6</v>
      </c>
      <c r="W47" s="55" t="n">
        <v>0.6</v>
      </c>
      <c r="X47" t="n">
        <v>2.7</v>
      </c>
      <c r="Y47" t="n">
        <v>2.7</v>
      </c>
      <c r="Z47" t="n">
        <v>2.9</v>
      </c>
      <c r="AA47" t="n">
        <v>2.9</v>
      </c>
      <c r="AB47" t="n">
        <v>1.7</v>
      </c>
      <c r="AC47" t="n">
        <v>1.7</v>
      </c>
      <c r="AD47" t="n">
        <v>0.7</v>
      </c>
      <c r="AE47" t="n">
        <v>0.7</v>
      </c>
      <c r="AF47" t="n">
        <v>-0.4</v>
      </c>
      <c r="AG47" t="n">
        <v>-0.4</v>
      </c>
      <c r="AH47" t="n">
        <v>-0.1</v>
      </c>
      <c r="AI47" t="n">
        <v>-0.1</v>
      </c>
      <c r="AJ47" t="n">
        <v>-0.8</v>
      </c>
      <c r="AK47" t="n">
        <v>-0.8</v>
      </c>
      <c r="AL47" t="n">
        <v>-0.9</v>
      </c>
      <c r="AM47" t="n">
        <v>-0.9</v>
      </c>
      <c r="AN47" t="n">
        <v>-1.8</v>
      </c>
      <c r="AO47" t="n">
        <v>-1.8</v>
      </c>
      <c r="AP47" t="n">
        <v>-1.1</v>
      </c>
      <c r="AQ47" t="n">
        <v>-1.1</v>
      </c>
    </row>
    <row r="48">
      <c r="C48" s="55" t="inlineStr">
        <is>
          <t>Operating Income (Adjusted)</t>
        </is>
      </c>
      <c r="D48" s="55" t="n">
        <v>2.7</v>
      </c>
      <c r="E48" s="55" t="n">
        <v>2.7</v>
      </c>
      <c r="F48" s="55" t="n">
        <v>1.6</v>
      </c>
      <c r="G48" s="55" t="n">
        <v>1.6</v>
      </c>
      <c r="H48" s="55" t="n">
        <v>2.5</v>
      </c>
      <c r="I48" s="55" t="n">
        <v>2.5</v>
      </c>
      <c r="J48" s="55" t="n">
        <v>2.4</v>
      </c>
      <c r="K48" s="55" t="n">
        <v>2.4</v>
      </c>
      <c r="L48" s="55" t="n">
        <v>2.8</v>
      </c>
      <c r="M48" s="55" t="n">
        <v>2.8</v>
      </c>
      <c r="N48" s="55" t="n">
        <v>3.5</v>
      </c>
      <c r="O48" s="55" t="n">
        <v>3.5</v>
      </c>
      <c r="P48" s="55" t="n">
        <v>2.6</v>
      </c>
      <c r="Q48" s="55" t="n">
        <v>2.6</v>
      </c>
      <c r="R48" s="55" t="n">
        <v>3.2</v>
      </c>
      <c r="S48" s="55" t="n">
        <v>3.2</v>
      </c>
      <c r="T48" s="55" t="n">
        <v>1.9</v>
      </c>
      <c r="U48" s="55" t="n">
        <v>1.9</v>
      </c>
      <c r="V48" s="55" t="n">
        <v>0.6</v>
      </c>
      <c r="W48" s="55" t="n">
        <v>0.6</v>
      </c>
      <c r="X48" t="n">
        <v>2.7</v>
      </c>
      <c r="Y48" t="n">
        <v>2.7</v>
      </c>
      <c r="Z48" t="n">
        <v>2.9</v>
      </c>
      <c r="AA48" t="n">
        <v>2.9</v>
      </c>
      <c r="AB48" t="n">
        <v>1.7</v>
      </c>
      <c r="AC48" t="n">
        <v>1.7</v>
      </c>
      <c r="AD48" t="n">
        <v>0.7</v>
      </c>
      <c r="AE48" t="n">
        <v>0.7</v>
      </c>
      <c r="AF48" t="n">
        <v>-0.5</v>
      </c>
      <c r="AG48" t="n">
        <v>-0.5</v>
      </c>
      <c r="AH48" t="n">
        <v>-0.1</v>
      </c>
      <c r="AI48" t="n">
        <v>-0.1</v>
      </c>
      <c r="AJ48" t="n">
        <v>-0.8</v>
      </c>
      <c r="AK48" t="n">
        <v>-0.8</v>
      </c>
      <c r="AL48" t="n">
        <v>-0.9</v>
      </c>
      <c r="AM48" t="n">
        <v>-0.9</v>
      </c>
      <c r="AN48" t="n">
        <v>-0.9</v>
      </c>
      <c r="AO48" t="n">
        <v>-0.9</v>
      </c>
      <c r="AP48" t="n">
        <v>-1.1</v>
      </c>
      <c r="AQ48" t="n">
        <v>-1.1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C2:E2"/>
    <mergeCell ref="C6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CU99"/>
  <sheetViews>
    <sheetView showGridLines="0" workbookViewId="0">
      <pane xSplit="3" ySplit="10" topLeftCell="AJ12" activePane="bottomRight" state="frozen"/>
      <selection activeCell="W40" sqref="W40"/>
      <selection pane="topRight" activeCell="W40" sqref="W40"/>
      <selection pane="bottomLeft" activeCell="W40" sqref="W40"/>
      <selection pane="bottomRight" activeCell="AQ12" sqref="AQ12"/>
    </sheetView>
  </sheetViews>
  <sheetFormatPr baseColWidth="8" defaultColWidth="15" defaultRowHeight="15" customHeight="1"/>
  <cols>
    <col width="2" customWidth="1" style="73" min="1" max="2"/>
    <col width="25" customWidth="1" style="73" min="3" max="3"/>
  </cols>
  <sheetData>
    <row r="1" ht="13.5" customHeight="1" s="73"/>
    <row r="2" ht="33" customHeight="1" s="73">
      <c r="C2" s="72" t="inlineStr">
        <is>
          <t>Trilogiq</t>
        </is>
      </c>
    </row>
    <row r="3">
      <c r="C3" s="53" t="inlineStr">
        <is>
          <t>Premium Export</t>
        </is>
      </c>
    </row>
    <row r="4"/>
    <row r="5"/>
    <row r="6">
      <c r="C6" s="74" t="inlineStr">
        <is>
          <t>Balance Sheet</t>
        </is>
      </c>
      <c r="E6" s="54" t="n"/>
      <c r="F6" s="54" t="n"/>
      <c r="G6" s="54" t="n"/>
      <c r="H6" s="54" t="n"/>
      <c r="I6" s="54" t="n"/>
      <c r="J6" s="54" t="n"/>
      <c r="K6" s="54" t="n"/>
      <c r="L6" s="54" t="n"/>
    </row>
    <row r="7"/>
    <row r="8" ht="33" customHeight="1" s="73">
      <c r="C8" s="55" t="n"/>
      <c r="D8" s="55" t="inlineStr">
        <is>
          <t>Q-39</t>
        </is>
      </c>
      <c r="E8" s="55" t="inlineStr">
        <is>
          <t>Q-38</t>
        </is>
      </c>
      <c r="F8" s="55" t="inlineStr">
        <is>
          <t>Q-37</t>
        </is>
      </c>
      <c r="G8" s="55" t="inlineStr">
        <is>
          <t>Q-36</t>
        </is>
      </c>
      <c r="H8" s="55" t="inlineStr">
        <is>
          <t>Q-35</t>
        </is>
      </c>
      <c r="I8" s="55" t="inlineStr">
        <is>
          <t>Q-34</t>
        </is>
      </c>
      <c r="J8" s="55" t="inlineStr">
        <is>
          <t>Q-33</t>
        </is>
      </c>
      <c r="K8" s="55" t="inlineStr">
        <is>
          <t>Q-32</t>
        </is>
      </c>
      <c r="L8" s="55" t="inlineStr">
        <is>
          <t>Q-31</t>
        </is>
      </c>
      <c r="M8" s="55" t="inlineStr">
        <is>
          <t>Q-30</t>
        </is>
      </c>
      <c r="N8" s="55" t="inlineStr">
        <is>
          <t>Q-29</t>
        </is>
      </c>
      <c r="O8" s="55" t="inlineStr">
        <is>
          <t>Q-28</t>
        </is>
      </c>
      <c r="P8" s="55" t="inlineStr">
        <is>
          <t>Q-27</t>
        </is>
      </c>
      <c r="Q8" s="55" t="inlineStr">
        <is>
          <t>Q-26</t>
        </is>
      </c>
      <c r="R8" s="55" t="inlineStr">
        <is>
          <t>Q-25</t>
        </is>
      </c>
      <c r="S8" s="55" t="inlineStr">
        <is>
          <t>Q-24</t>
        </is>
      </c>
      <c r="T8" s="55" t="inlineStr">
        <is>
          <t>Q-23</t>
        </is>
      </c>
      <c r="U8" s="55" t="inlineStr">
        <is>
          <t>Q-22</t>
        </is>
      </c>
      <c r="V8" s="55" t="inlineStr">
        <is>
          <t>Q-21</t>
        </is>
      </c>
      <c r="W8" s="55" t="inlineStr">
        <is>
          <t>Q-20</t>
        </is>
      </c>
      <c r="X8" t="inlineStr">
        <is>
          <t>Q-19</t>
        </is>
      </c>
      <c r="Y8" t="inlineStr">
        <is>
          <t>Q-18</t>
        </is>
      </c>
      <c r="Z8" t="inlineStr">
        <is>
          <t>Q-17</t>
        </is>
      </c>
      <c r="AA8" t="inlineStr">
        <is>
          <t>Q-16</t>
        </is>
      </c>
      <c r="AB8" t="inlineStr">
        <is>
          <t>Q-15</t>
        </is>
      </c>
      <c r="AC8" t="inlineStr">
        <is>
          <t>Q-14</t>
        </is>
      </c>
      <c r="AD8" t="inlineStr">
        <is>
          <t>Q-13</t>
        </is>
      </c>
      <c r="AE8" t="inlineStr">
        <is>
          <t>Q-12</t>
        </is>
      </c>
      <c r="AF8" t="inlineStr">
        <is>
          <t>Q-11</t>
        </is>
      </c>
      <c r="AG8" t="inlineStr">
        <is>
          <t>Q-10</t>
        </is>
      </c>
      <c r="AH8" t="inlineStr">
        <is>
          <t>Q-9</t>
        </is>
      </c>
      <c r="AI8" t="inlineStr">
        <is>
          <t>Q-8</t>
        </is>
      </c>
      <c r="AJ8" t="inlineStr">
        <is>
          <t>Q-7</t>
        </is>
      </c>
      <c r="AK8" t="inlineStr">
        <is>
          <t>Q-6</t>
        </is>
      </c>
      <c r="AL8" t="inlineStr">
        <is>
          <t>Q-5</t>
        </is>
      </c>
      <c r="AM8" t="inlineStr">
        <is>
          <t>Q-4</t>
        </is>
      </c>
      <c r="AN8" t="inlineStr">
        <is>
          <t>Q-3</t>
        </is>
      </c>
      <c r="AO8" t="inlineStr">
        <is>
          <t>Q-2</t>
        </is>
      </c>
      <c r="AP8" t="inlineStr">
        <is>
          <t>Q-1</t>
        </is>
      </c>
      <c r="AQ8" t="inlineStr">
        <is>
          <t>Q</t>
        </is>
      </c>
    </row>
    <row r="9"/>
    <row r="10">
      <c r="C10" s="55" t="inlineStr">
        <is>
          <t>Period End Date</t>
        </is>
      </c>
      <c r="D10" s="55" t="inlineStr">
        <is>
          <t>2015-09-30</t>
        </is>
      </c>
      <c r="E10" s="55" t="inlineStr">
        <is>
          <t>2015-12-31</t>
        </is>
      </c>
      <c r="F10" s="55" t="inlineStr">
        <is>
          <t>2016-03-31</t>
        </is>
      </c>
      <c r="G10" s="55" t="inlineStr">
        <is>
          <t>2016-06-30</t>
        </is>
      </c>
      <c r="H10" s="55" t="inlineStr">
        <is>
          <t>2016-09-30</t>
        </is>
      </c>
      <c r="I10" s="55" t="inlineStr">
        <is>
          <t>2016-12-31</t>
        </is>
      </c>
      <c r="J10" s="55" t="inlineStr">
        <is>
          <t>2017-03-31</t>
        </is>
      </c>
      <c r="K10" s="55" t="inlineStr">
        <is>
          <t>2017-06-30</t>
        </is>
      </c>
      <c r="L10" s="55" t="inlineStr">
        <is>
          <t>2017-09-30</t>
        </is>
      </c>
      <c r="M10" s="55" t="inlineStr">
        <is>
          <t>2017-12-31</t>
        </is>
      </c>
      <c r="N10" s="55" t="inlineStr">
        <is>
          <t>2018-03-31</t>
        </is>
      </c>
      <c r="O10" s="55" t="inlineStr">
        <is>
          <t>2018-06-30</t>
        </is>
      </c>
      <c r="P10" s="55" t="inlineStr">
        <is>
          <t>2018-09-30</t>
        </is>
      </c>
      <c r="Q10" s="55" t="inlineStr">
        <is>
          <t>2018-12-31</t>
        </is>
      </c>
      <c r="R10" s="55" t="inlineStr">
        <is>
          <t>2019-03-31</t>
        </is>
      </c>
      <c r="S10" s="55" t="inlineStr">
        <is>
          <t>2019-06-30</t>
        </is>
      </c>
      <c r="T10" s="55" t="inlineStr">
        <is>
          <t>2019-09-30</t>
        </is>
      </c>
      <c r="U10" s="55" t="inlineStr">
        <is>
          <t>2019-12-31</t>
        </is>
      </c>
      <c r="V10" s="55" t="inlineStr">
        <is>
          <t>2020-03-31</t>
        </is>
      </c>
      <c r="W10" s="55" t="inlineStr">
        <is>
          <t>2020-06-30</t>
        </is>
      </c>
      <c r="X10" t="inlineStr">
        <is>
          <t>2020-09-30</t>
        </is>
      </c>
      <c r="Y10" t="inlineStr">
        <is>
          <t>2020-12-31</t>
        </is>
      </c>
      <c r="Z10" t="inlineStr">
        <is>
          <t>2021-03-31</t>
        </is>
      </c>
      <c r="AA10" t="inlineStr">
        <is>
          <t>2021-06-30</t>
        </is>
      </c>
      <c r="AB10" t="inlineStr">
        <is>
          <t>2021-09-30</t>
        </is>
      </c>
      <c r="AC10" t="inlineStr">
        <is>
          <t>2021-12-31</t>
        </is>
      </c>
      <c r="AD10" t="inlineStr">
        <is>
          <t>2022-03-31</t>
        </is>
      </c>
      <c r="AE10" t="inlineStr">
        <is>
          <t>2022-06-30</t>
        </is>
      </c>
      <c r="AF10" t="inlineStr">
        <is>
          <t>2022-09-30</t>
        </is>
      </c>
      <c r="AG10" t="inlineStr">
        <is>
          <t>2022-12-31</t>
        </is>
      </c>
      <c r="AH10" t="inlineStr">
        <is>
          <t>2023-03-31</t>
        </is>
      </c>
      <c r="AI10" t="inlineStr">
        <is>
          <t>2023-06-30</t>
        </is>
      </c>
      <c r="AJ10" t="inlineStr">
        <is>
          <t>2023-09-30</t>
        </is>
      </c>
      <c r="AK10" t="inlineStr">
        <is>
          <t>2023-12-31</t>
        </is>
      </c>
      <c r="AL10" t="inlineStr">
        <is>
          <t>2024-03-31</t>
        </is>
      </c>
      <c r="AM10" t="inlineStr">
        <is>
          <t>2024-06-30</t>
        </is>
      </c>
      <c r="AN10" t="inlineStr">
        <is>
          <t>2024-09-30</t>
        </is>
      </c>
      <c r="AO10" t="inlineStr">
        <is>
          <t>2024-12-31</t>
        </is>
      </c>
      <c r="AP10" t="inlineStr">
        <is>
          <t>2025-03-31</t>
        </is>
      </c>
      <c r="AQ10" t="inlineStr">
        <is>
          <t>2025-06-30</t>
        </is>
      </c>
    </row>
    <row r="11"/>
    <row r="12">
      <c r="C12" s="55" t="inlineStr">
        <is>
          <t>Cash And Equivalents</t>
        </is>
      </c>
      <c r="D12" s="55" t="n">
        <v>16</v>
      </c>
      <c r="E12" s="55" t="n">
        <v>16</v>
      </c>
      <c r="F12" s="55" t="n">
        <v>21.3</v>
      </c>
      <c r="G12" s="55" t="n">
        <v>21.3</v>
      </c>
      <c r="H12" s="55" t="n">
        <v>53.9</v>
      </c>
      <c r="I12" s="55" t="n">
        <v>53.9</v>
      </c>
      <c r="J12" s="55" t="n">
        <v>12.4</v>
      </c>
      <c r="K12" s="55" t="n">
        <v>12.4</v>
      </c>
      <c r="L12" s="55" t="n">
        <v>18.1</v>
      </c>
      <c r="M12" s="55" t="n">
        <v>18.1</v>
      </c>
      <c r="N12" s="55" t="n">
        <v>22.9</v>
      </c>
      <c r="O12" s="55" t="n">
        <v>22.9</v>
      </c>
      <c r="P12" s="55" t="n">
        <v>27.5</v>
      </c>
      <c r="Q12" s="55" t="n">
        <v>27.5</v>
      </c>
      <c r="R12" s="55" t="n">
        <v>21.6</v>
      </c>
      <c r="S12" s="55" t="n">
        <v>21.6</v>
      </c>
      <c r="T12" s="55" t="n">
        <v>19.5</v>
      </c>
      <c r="U12" s="55" t="n">
        <v>19.5</v>
      </c>
      <c r="V12" s="55" t="n">
        <v>16</v>
      </c>
      <c r="W12" s="55" t="n">
        <v>16</v>
      </c>
      <c r="X12" t="n">
        <v>19.9</v>
      </c>
      <c r="Y12" t="n">
        <v>19.9</v>
      </c>
      <c r="Z12" t="n">
        <v>18.1</v>
      </c>
      <c r="AA12" t="n">
        <v>18.1</v>
      </c>
      <c r="AB12" t="n">
        <v>31.9</v>
      </c>
      <c r="AC12" t="n">
        <v>31.9</v>
      </c>
      <c r="AD12" t="n">
        <v>29.9</v>
      </c>
      <c r="AE12" t="n">
        <v>29.9</v>
      </c>
      <c r="AF12" t="n">
        <v>28.6</v>
      </c>
      <c r="AG12" t="n">
        <v>28.6</v>
      </c>
      <c r="AH12" t="n">
        <v>26.8</v>
      </c>
      <c r="AI12" t="n">
        <v>26.8</v>
      </c>
      <c r="AJ12" t="n">
        <v>27.3</v>
      </c>
      <c r="AK12" t="n">
        <v>27.3</v>
      </c>
      <c r="AL12" t="n">
        <v>16.3</v>
      </c>
      <c r="AM12" t="n">
        <v>16.3</v>
      </c>
      <c r="AN12" t="n">
        <v>17.8</v>
      </c>
      <c r="AO12" t="n">
        <v>17.8</v>
      </c>
      <c r="AP12" t="n">
        <v>14.7</v>
      </c>
      <c r="AQ12" t="n">
        <v>14.7</v>
      </c>
    </row>
    <row r="13">
      <c r="C13" s="55" t="inlineStr">
        <is>
          <t>Short Term Investments</t>
        </is>
      </c>
      <c r="D13" s="55" t="inlineStr"/>
      <c r="E13" s="55" t="inlineStr"/>
      <c r="F13" s="55" t="inlineStr"/>
      <c r="G13" s="55" t="inlineStr"/>
      <c r="H13" s="55" t="inlineStr"/>
      <c r="I13" s="55" t="inlineStr"/>
      <c r="J13" s="55" t="inlineStr"/>
      <c r="K13" s="55" t="inlineStr"/>
      <c r="L13" s="55" t="inlineStr"/>
      <c r="M13" s="55" t="inlineStr"/>
      <c r="N13" s="55" t="inlineStr"/>
      <c r="O13" s="55" t="inlineStr"/>
      <c r="P13" s="55" t="inlineStr"/>
      <c r="Q13" s="55" t="inlineStr"/>
      <c r="R13" s="55" t="inlineStr"/>
      <c r="S13" s="55" t="inlineStr"/>
      <c r="T13" s="55" t="inlineStr"/>
      <c r="U13" s="55" t="inlineStr"/>
      <c r="V13" s="55" t="inlineStr"/>
      <c r="W13" s="55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C14" s="55" t="inlineStr">
        <is>
          <t>Accounts Receivable, Net</t>
        </is>
      </c>
      <c r="D14" s="55" t="n">
        <v>37.6</v>
      </c>
      <c r="E14" s="55" t="n">
        <v>37.6</v>
      </c>
      <c r="F14" s="55" t="n">
        <v>44.3</v>
      </c>
      <c r="G14" s="55" t="n">
        <v>44.3</v>
      </c>
      <c r="H14" s="55" t="n">
        <v>28.8</v>
      </c>
      <c r="I14" s="55" t="n">
        <v>28.8</v>
      </c>
      <c r="J14" s="55" t="n">
        <v>29.9</v>
      </c>
      <c r="K14" s="55" t="n">
        <v>29.9</v>
      </c>
      <c r="L14" s="55" t="n">
        <v>31.4</v>
      </c>
      <c r="M14" s="55" t="n">
        <v>31.4</v>
      </c>
      <c r="N14" s="55" t="n">
        <v>31.1</v>
      </c>
      <c r="O14" s="55" t="n">
        <v>31.1</v>
      </c>
      <c r="P14" s="55" t="n">
        <v>30.3</v>
      </c>
      <c r="Q14" s="55" t="n">
        <v>30.3</v>
      </c>
      <c r="R14" s="55" t="n">
        <v>26.8</v>
      </c>
      <c r="S14" s="55" t="n">
        <v>26.8</v>
      </c>
      <c r="T14" s="55" t="n">
        <v>28.5</v>
      </c>
      <c r="U14" s="55" t="n">
        <v>28.5</v>
      </c>
      <c r="V14" s="55" t="n">
        <v>19.4</v>
      </c>
      <c r="W14" s="55" t="n">
        <v>19.4</v>
      </c>
      <c r="X14" t="n">
        <v>28.1</v>
      </c>
      <c r="Y14" t="n">
        <v>28.1</v>
      </c>
      <c r="Z14" t="n">
        <v>31.2</v>
      </c>
      <c r="AA14" t="n">
        <v>31.2</v>
      </c>
      <c r="AB14" t="n">
        <v>25.3</v>
      </c>
      <c r="AC14" t="n">
        <v>25.3</v>
      </c>
      <c r="AD14" t="n">
        <v>28.7</v>
      </c>
      <c r="AE14" t="n">
        <v>28.7</v>
      </c>
      <c r="AF14" t="n">
        <v>26.1</v>
      </c>
      <c r="AG14" t="n">
        <v>26.1</v>
      </c>
      <c r="AH14" t="n">
        <v>33.7</v>
      </c>
      <c r="AI14" t="n">
        <v>33.7</v>
      </c>
      <c r="AJ14" t="n">
        <v>23.7</v>
      </c>
      <c r="AK14" t="n">
        <v>23.7</v>
      </c>
      <c r="AL14" t="n">
        <v>25.8</v>
      </c>
      <c r="AM14" t="n">
        <v>25.8</v>
      </c>
      <c r="AN14" t="n">
        <v>28.4</v>
      </c>
      <c r="AO14" t="n">
        <v>28.4</v>
      </c>
      <c r="AP14" t="n">
        <v>30.2</v>
      </c>
      <c r="AQ14" t="n">
        <v>30.2</v>
      </c>
    </row>
    <row r="15">
      <c r="C15" s="55" t="inlineStr">
        <is>
          <t>Inventory</t>
        </is>
      </c>
      <c r="D15" s="55" t="n">
        <v>43.5</v>
      </c>
      <c r="E15" s="55" t="n">
        <v>43.5</v>
      </c>
      <c r="F15" s="55" t="n">
        <v>52.1</v>
      </c>
      <c r="G15" s="55" t="n">
        <v>52.1</v>
      </c>
      <c r="H15" s="55" t="n">
        <v>23.2</v>
      </c>
      <c r="I15" s="55" t="n">
        <v>23.2</v>
      </c>
      <c r="J15" s="55" t="n">
        <v>36.8</v>
      </c>
      <c r="K15" s="55" t="n">
        <v>36.8</v>
      </c>
      <c r="L15" s="55" t="n">
        <v>34.7</v>
      </c>
      <c r="M15" s="55" t="n">
        <v>34.7</v>
      </c>
      <c r="N15" s="55" t="n">
        <v>38.2</v>
      </c>
      <c r="O15" s="55" t="n">
        <v>38.2</v>
      </c>
      <c r="P15" s="55" t="n">
        <v>37.6</v>
      </c>
      <c r="Q15" s="55" t="n">
        <v>37.6</v>
      </c>
      <c r="R15" s="55" t="n">
        <v>39.7</v>
      </c>
      <c r="S15" s="55" t="n">
        <v>39.7</v>
      </c>
      <c r="T15" s="55" t="n">
        <v>31.9</v>
      </c>
      <c r="U15" s="55" t="n">
        <v>31.9</v>
      </c>
      <c r="V15" s="55" t="n">
        <v>33.8</v>
      </c>
      <c r="W15" s="55" t="n">
        <v>33.8</v>
      </c>
      <c r="X15" t="n">
        <v>37.2</v>
      </c>
      <c r="Y15" t="n">
        <v>37.2</v>
      </c>
      <c r="Z15" t="n">
        <v>39.1</v>
      </c>
      <c r="AA15" t="n">
        <v>39.1</v>
      </c>
      <c r="AB15" t="n">
        <v>39.4</v>
      </c>
      <c r="AC15" t="n">
        <v>39.4</v>
      </c>
      <c r="AD15" t="n">
        <v>40.2</v>
      </c>
      <c r="AE15" t="n">
        <v>40.2</v>
      </c>
      <c r="AF15" t="n">
        <v>50</v>
      </c>
      <c r="AG15" t="n">
        <v>50</v>
      </c>
      <c r="AH15" t="n">
        <v>42.4</v>
      </c>
      <c r="AI15" t="n">
        <v>42.4</v>
      </c>
      <c r="AJ15" t="n">
        <v>37.8</v>
      </c>
      <c r="AK15" t="n">
        <v>37.8</v>
      </c>
      <c r="AL15" t="n">
        <v>46.5</v>
      </c>
      <c r="AM15" t="n">
        <v>46.5</v>
      </c>
      <c r="AN15" t="n">
        <v>47.6</v>
      </c>
      <c r="AO15" t="n">
        <v>47.6</v>
      </c>
      <c r="AP15" t="n">
        <v>39.2</v>
      </c>
      <c r="AQ15" t="n">
        <v>39.2</v>
      </c>
    </row>
    <row r="16">
      <c r="C16" s="55" t="inlineStr">
        <is>
          <t>Prepaid Expenses</t>
        </is>
      </c>
      <c r="D16" s="55" t="n">
        <v>2.1</v>
      </c>
      <c r="E16" s="55" t="n">
        <v>2.1</v>
      </c>
      <c r="F16" s="55" t="n">
        <v>5.1</v>
      </c>
      <c r="G16" s="55" t="n">
        <v>5.1</v>
      </c>
      <c r="H16" s="55" t="n">
        <v>1.4</v>
      </c>
      <c r="I16" s="55" t="n">
        <v>1.4</v>
      </c>
      <c r="J16" s="55" t="n">
        <v>1.9</v>
      </c>
      <c r="K16" s="55" t="n">
        <v>1.9</v>
      </c>
      <c r="L16" s="55" t="n">
        <v>0.6</v>
      </c>
      <c r="M16" s="55" t="n">
        <v>0.6</v>
      </c>
      <c r="N16" s="55" t="n">
        <v>1.6</v>
      </c>
      <c r="O16" s="55" t="n">
        <v>1.6</v>
      </c>
      <c r="P16" s="55" t="n">
        <v>1.1</v>
      </c>
      <c r="Q16" s="55" t="n">
        <v>1.1</v>
      </c>
      <c r="R16" s="55" t="inlineStr"/>
      <c r="S16" s="55" t="inlineStr"/>
      <c r="T16" s="55" t="n">
        <v>0.9</v>
      </c>
      <c r="U16" s="55" t="n">
        <v>0.9</v>
      </c>
      <c r="V16" s="55" t="inlineStr"/>
      <c r="W16" s="55" t="inlineStr"/>
      <c r="X16" t="n">
        <v>1.3</v>
      </c>
      <c r="Y16" t="n">
        <v>1.3</v>
      </c>
      <c r="Z16" t="n">
        <v>2</v>
      </c>
      <c r="AA16" t="n">
        <v>2</v>
      </c>
      <c r="AB16" t="n">
        <v>1.5</v>
      </c>
      <c r="AC16" t="n">
        <v>1.5</v>
      </c>
      <c r="AD16" t="n">
        <v>2.1</v>
      </c>
      <c r="AE16" t="n">
        <v>2.1</v>
      </c>
      <c r="AF16" t="n">
        <v>2</v>
      </c>
      <c r="AG16" t="n">
        <v>2</v>
      </c>
      <c r="AH16" t="n">
        <v>2.3</v>
      </c>
      <c r="AI16" t="n">
        <v>2.3</v>
      </c>
      <c r="AJ16" t="n">
        <v>1.9</v>
      </c>
      <c r="AK16" t="n">
        <v>1.9</v>
      </c>
      <c r="AL16" t="n">
        <v>2.4</v>
      </c>
      <c r="AM16" t="n">
        <v>2.4</v>
      </c>
      <c r="AN16" t="n">
        <v>1.8</v>
      </c>
      <c r="AO16" t="n">
        <v>1.8</v>
      </c>
      <c r="AP16" t="n">
        <v>2.4</v>
      </c>
      <c r="AQ16" t="n">
        <v>2.4</v>
      </c>
    </row>
    <row r="17">
      <c r="C17" s="55" t="inlineStr">
        <is>
          <t>Other Current Assets</t>
        </is>
      </c>
      <c r="D17" s="55" t="n">
        <v>7.3</v>
      </c>
      <c r="E17" s="55" t="n">
        <v>7.3</v>
      </c>
      <c r="F17" s="55" t="n">
        <v>11.9</v>
      </c>
      <c r="G17" s="55" t="n">
        <v>11.9</v>
      </c>
      <c r="H17" s="55" t="n">
        <v>13.7</v>
      </c>
      <c r="I17" s="55" t="n">
        <v>13.7</v>
      </c>
      <c r="J17" s="55" t="n">
        <v>7</v>
      </c>
      <c r="K17" s="55" t="n">
        <v>7</v>
      </c>
      <c r="L17" s="55" t="n">
        <v>11.8</v>
      </c>
      <c r="M17" s="55" t="n">
        <v>11.8</v>
      </c>
      <c r="N17" s="55" t="n">
        <v>2.9</v>
      </c>
      <c r="O17" s="55" t="n">
        <v>2.9</v>
      </c>
      <c r="P17" s="55" t="n">
        <v>3.8</v>
      </c>
      <c r="Q17" s="55" t="n">
        <v>3.8</v>
      </c>
      <c r="R17" s="55" t="n">
        <v>8.699999999999999</v>
      </c>
      <c r="S17" s="55" t="n">
        <v>8.699999999999999</v>
      </c>
      <c r="T17" s="55" t="n">
        <v>3.3</v>
      </c>
      <c r="U17" s="55" t="n">
        <v>3.3</v>
      </c>
      <c r="V17" s="55" t="n">
        <v>8.5</v>
      </c>
      <c r="W17" s="55" t="n">
        <v>8.5</v>
      </c>
      <c r="X17" t="n">
        <v>3.3</v>
      </c>
      <c r="Y17" t="n">
        <v>3.3</v>
      </c>
      <c r="Z17" t="n">
        <v>6.5</v>
      </c>
      <c r="AA17" t="n">
        <v>6.5</v>
      </c>
      <c r="AB17" t="n">
        <v>2.4</v>
      </c>
      <c r="AC17" t="n">
        <v>2.4</v>
      </c>
      <c r="AD17" t="n">
        <v>4</v>
      </c>
      <c r="AE17" t="n">
        <v>4</v>
      </c>
      <c r="AF17" t="n">
        <v>3.2</v>
      </c>
      <c r="AG17" t="n">
        <v>3.2</v>
      </c>
      <c r="AH17" t="n">
        <v>3.6</v>
      </c>
      <c r="AI17" t="n">
        <v>3.6</v>
      </c>
      <c r="AJ17" t="n">
        <v>4.3</v>
      </c>
      <c r="AK17" t="n">
        <v>4.3</v>
      </c>
      <c r="AL17" t="n">
        <v>3.8</v>
      </c>
      <c r="AM17" t="n">
        <v>3.8</v>
      </c>
      <c r="AN17" t="n">
        <v>4.8</v>
      </c>
      <c r="AO17" t="n">
        <v>4.8</v>
      </c>
      <c r="AP17" t="n">
        <v>5.9</v>
      </c>
      <c r="AQ17" t="n">
        <v>5.9</v>
      </c>
    </row>
    <row r="18">
      <c r="C18" s="55" t="inlineStr">
        <is>
          <t>Total Current Assets</t>
        </is>
      </c>
      <c r="D18" s="55" t="n">
        <v>106.5</v>
      </c>
      <c r="E18" s="55" t="n">
        <v>106.5</v>
      </c>
      <c r="F18" s="55" t="n">
        <v>134.6</v>
      </c>
      <c r="G18" s="55" t="n">
        <v>134.6</v>
      </c>
      <c r="H18" s="55" t="n">
        <v>120.9</v>
      </c>
      <c r="I18" s="55" t="n">
        <v>120.9</v>
      </c>
      <c r="J18" s="55" t="n">
        <v>87.90000000000001</v>
      </c>
      <c r="K18" s="55" t="n">
        <v>87.90000000000001</v>
      </c>
      <c r="L18" s="55" t="n">
        <v>96.59999999999999</v>
      </c>
      <c r="M18" s="55" t="n">
        <v>96.59999999999999</v>
      </c>
      <c r="N18" s="55" t="n">
        <v>96.7</v>
      </c>
      <c r="O18" s="55" t="n">
        <v>96.7</v>
      </c>
      <c r="P18" s="55" t="n">
        <v>100.2</v>
      </c>
      <c r="Q18" s="55" t="n">
        <v>100.2</v>
      </c>
      <c r="R18" s="55" t="n">
        <v>96.8</v>
      </c>
      <c r="S18" s="55" t="n">
        <v>96.8</v>
      </c>
      <c r="T18" s="55" t="n">
        <v>84.2</v>
      </c>
      <c r="U18" s="55" t="n">
        <v>84.2</v>
      </c>
      <c r="V18" s="55" t="n">
        <v>77.7</v>
      </c>
      <c r="W18" s="55" t="n">
        <v>77.7</v>
      </c>
      <c r="X18" t="n">
        <v>89.8</v>
      </c>
      <c r="Y18" t="n">
        <v>89.8</v>
      </c>
      <c r="Z18" t="n">
        <v>96.8</v>
      </c>
      <c r="AA18" t="n">
        <v>96.8</v>
      </c>
      <c r="AB18" t="n">
        <v>100.5</v>
      </c>
      <c r="AC18" t="n">
        <v>100.5</v>
      </c>
      <c r="AD18" t="n">
        <v>105</v>
      </c>
      <c r="AE18" t="n">
        <v>105</v>
      </c>
      <c r="AF18" t="n">
        <v>109.9</v>
      </c>
      <c r="AG18" t="n">
        <v>109.9</v>
      </c>
      <c r="AH18" t="n">
        <v>108.8</v>
      </c>
      <c r="AI18" t="n">
        <v>108.8</v>
      </c>
      <c r="AJ18" t="n">
        <v>95</v>
      </c>
      <c r="AK18" t="n">
        <v>95</v>
      </c>
      <c r="AL18" t="n">
        <v>94.8</v>
      </c>
      <c r="AM18" t="n">
        <v>94.8</v>
      </c>
      <c r="AN18" t="n">
        <v>100.3</v>
      </c>
      <c r="AO18" t="n">
        <v>100.3</v>
      </c>
      <c r="AP18" t="n">
        <v>92.40000000000001</v>
      </c>
      <c r="AQ18" t="n">
        <v>92.40000000000001</v>
      </c>
    </row>
    <row r="19"/>
    <row r="20">
      <c r="C20" s="55" t="inlineStr">
        <is>
          <t>Property Plant And Equipment, Net</t>
        </is>
      </c>
      <c r="D20" s="55" t="n">
        <v>76.09999999999999</v>
      </c>
      <c r="E20" s="55" t="n">
        <v>76.09999999999999</v>
      </c>
      <c r="F20" s="55" t="n">
        <v>85.90000000000001</v>
      </c>
      <c r="G20" s="55" t="n">
        <v>85.90000000000001</v>
      </c>
      <c r="H20" s="55" t="n">
        <v>60.3</v>
      </c>
      <c r="I20" s="55" t="n">
        <v>60.3</v>
      </c>
      <c r="J20" s="55" t="n">
        <v>64.2</v>
      </c>
      <c r="K20" s="55" t="n">
        <v>64.2</v>
      </c>
      <c r="L20" s="55" t="n">
        <v>66.3</v>
      </c>
      <c r="M20" s="55" t="n">
        <v>66.3</v>
      </c>
      <c r="N20" s="55" t="n">
        <v>69</v>
      </c>
      <c r="O20" s="55" t="n">
        <v>69</v>
      </c>
      <c r="P20" s="55" t="n">
        <v>70.7</v>
      </c>
      <c r="Q20" s="55" t="n">
        <v>70.7</v>
      </c>
      <c r="R20" s="55" t="n">
        <v>69.09999999999999</v>
      </c>
      <c r="S20" s="55" t="n">
        <v>69.09999999999999</v>
      </c>
      <c r="T20" s="55" t="n">
        <v>66.8</v>
      </c>
      <c r="U20" s="55" t="n">
        <v>66.8</v>
      </c>
      <c r="V20" s="55" t="n">
        <v>64.59999999999999</v>
      </c>
      <c r="W20" s="55" t="n">
        <v>64.59999999999999</v>
      </c>
      <c r="X20" t="n">
        <v>61.6</v>
      </c>
      <c r="Y20" t="n">
        <v>61.6</v>
      </c>
      <c r="Z20" t="n">
        <v>60.3</v>
      </c>
      <c r="AA20" t="n">
        <v>60.3</v>
      </c>
      <c r="AB20" t="n">
        <v>57.7</v>
      </c>
      <c r="AC20" t="n">
        <v>57.7</v>
      </c>
      <c r="AD20" t="n">
        <v>54.9</v>
      </c>
      <c r="AE20" t="n">
        <v>54.9</v>
      </c>
      <c r="AF20" t="n">
        <v>52.4</v>
      </c>
      <c r="AG20" t="n">
        <v>52.4</v>
      </c>
      <c r="AH20" t="n">
        <v>52.7</v>
      </c>
      <c r="AI20" t="n">
        <v>52.7</v>
      </c>
      <c r="AJ20" t="n">
        <v>53.5</v>
      </c>
      <c r="AK20" t="n">
        <v>53.5</v>
      </c>
      <c r="AL20" t="n">
        <v>51.6</v>
      </c>
      <c r="AM20" t="n">
        <v>51.6</v>
      </c>
      <c r="AN20" t="n">
        <v>50.1</v>
      </c>
      <c r="AO20" t="n">
        <v>50.1</v>
      </c>
      <c r="AP20" t="n">
        <v>48.9</v>
      </c>
      <c r="AQ20" t="n">
        <v>48.9</v>
      </c>
    </row>
    <row r="21">
      <c r="C21" s="55" t="inlineStr">
        <is>
          <t>Real Estate Owned</t>
        </is>
      </c>
      <c r="D21" s="55" t="inlineStr"/>
      <c r="E21" s="55" t="inlineStr"/>
      <c r="F21" s="55" t="inlineStr"/>
      <c r="G21" s="55" t="inlineStr"/>
      <c r="H21" s="55" t="inlineStr"/>
      <c r="I21" s="55" t="inlineStr"/>
      <c r="J21" s="55" t="inlineStr"/>
      <c r="K21" s="55" t="inlineStr"/>
      <c r="L21" s="55" t="inlineStr"/>
      <c r="M21" s="55" t="inlineStr"/>
      <c r="N21" s="55" t="inlineStr"/>
      <c r="O21" s="55" t="inlineStr"/>
      <c r="P21" s="55" t="inlineStr"/>
      <c r="Q21" s="55" t="inlineStr"/>
      <c r="R21" s="55" t="inlineStr"/>
      <c r="S21" s="55" t="inlineStr"/>
      <c r="T21" s="55" t="inlineStr"/>
      <c r="U21" s="55" t="inlineStr"/>
      <c r="V21" s="55" t="inlineStr"/>
      <c r="W21" s="55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C22" s="55" t="inlineStr">
        <is>
          <t>Capitalized / Purchased Software</t>
        </is>
      </c>
      <c r="D22" s="55" t="inlineStr"/>
      <c r="E22" s="55" t="inlineStr"/>
      <c r="F22" s="55" t="inlineStr"/>
      <c r="G22" s="55" t="inlineStr"/>
      <c r="H22" s="55" t="inlineStr"/>
      <c r="I22" s="55" t="inlineStr"/>
      <c r="J22" s="55" t="inlineStr"/>
      <c r="K22" s="55" t="inlineStr"/>
      <c r="L22" s="55" t="inlineStr"/>
      <c r="M22" s="55" t="inlineStr"/>
      <c r="N22" s="55" t="inlineStr"/>
      <c r="O22" s="55" t="inlineStr"/>
      <c r="P22" s="55" t="inlineStr"/>
      <c r="Q22" s="55" t="inlineStr"/>
      <c r="R22" s="55" t="inlineStr"/>
      <c r="S22" s="55" t="inlineStr"/>
      <c r="T22" s="55" t="inlineStr"/>
      <c r="U22" s="55" t="inlineStr"/>
      <c r="V22" s="55" t="inlineStr"/>
      <c r="W22" s="55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C23" s="55" t="inlineStr">
        <is>
          <t>Long-term Investments</t>
        </is>
      </c>
      <c r="D23" s="55" t="inlineStr"/>
      <c r="E23" s="55" t="inlineStr"/>
      <c r="F23" s="55" t="n">
        <v>6.3</v>
      </c>
      <c r="G23" s="55" t="n">
        <v>6.3</v>
      </c>
      <c r="H23" s="55" t="inlineStr"/>
      <c r="I23" s="55" t="inlineStr"/>
      <c r="J23" s="55" t="n">
        <v>5.1</v>
      </c>
      <c r="K23" s="55" t="n">
        <v>5.1</v>
      </c>
      <c r="L23" s="55" t="inlineStr"/>
      <c r="M23" s="55" t="inlineStr"/>
      <c r="N23" s="55" t="n">
        <v>3.3</v>
      </c>
      <c r="O23" s="55" t="n">
        <v>3.3</v>
      </c>
      <c r="P23" s="55" t="inlineStr"/>
      <c r="Q23" s="55" t="inlineStr"/>
      <c r="R23" s="55" t="n">
        <v>3.8</v>
      </c>
      <c r="S23" s="55" t="n">
        <v>3.8</v>
      </c>
      <c r="T23" s="55" t="inlineStr"/>
      <c r="U23" s="55" t="inlineStr"/>
      <c r="V23" s="55" t="inlineStr"/>
      <c r="W23" s="55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C24" s="55" t="inlineStr">
        <is>
          <t>Goodwill</t>
        </is>
      </c>
      <c r="D24" s="55" t="inlineStr"/>
      <c r="E24" s="55" t="inlineStr"/>
      <c r="F24" s="55" t="inlineStr"/>
      <c r="G24" s="55" t="inlineStr"/>
      <c r="H24" s="55" t="inlineStr"/>
      <c r="I24" s="55" t="inlineStr"/>
      <c r="J24" s="55" t="inlineStr"/>
      <c r="K24" s="55" t="inlineStr"/>
      <c r="L24" s="55" t="inlineStr"/>
      <c r="M24" s="55" t="inlineStr"/>
      <c r="N24" s="55" t="inlineStr"/>
      <c r="O24" s="55" t="inlineStr"/>
      <c r="P24" s="55" t="inlineStr"/>
      <c r="Q24" s="55" t="inlineStr"/>
      <c r="R24" s="55" t="inlineStr"/>
      <c r="S24" s="55" t="inlineStr"/>
      <c r="T24" s="55" t="inlineStr"/>
      <c r="U24" s="55" t="inlineStr"/>
      <c r="V24" s="55" t="inlineStr"/>
      <c r="W24" s="55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C25" s="55" t="inlineStr">
        <is>
          <t>Other Intangibles</t>
        </is>
      </c>
      <c r="D25" s="55" t="n">
        <v>0.6</v>
      </c>
      <c r="E25" s="55" t="n">
        <v>0.6</v>
      </c>
      <c r="F25" s="55" t="n">
        <v>9</v>
      </c>
      <c r="G25" s="55" t="n">
        <v>9</v>
      </c>
      <c r="H25" s="55" t="n">
        <v>0</v>
      </c>
      <c r="I25" s="55" t="n">
        <v>0</v>
      </c>
      <c r="J25" s="55" t="n">
        <v>5.3</v>
      </c>
      <c r="K25" s="55" t="n">
        <v>5.3</v>
      </c>
      <c r="L25" s="55" t="n">
        <v>0</v>
      </c>
      <c r="M25" s="55" t="n">
        <v>0</v>
      </c>
      <c r="N25" s="55" t="n">
        <v>4.4</v>
      </c>
      <c r="O25" s="55" t="n">
        <v>4.4</v>
      </c>
      <c r="P25" s="55" t="n">
        <v>0</v>
      </c>
      <c r="Q25" s="55" t="n">
        <v>0</v>
      </c>
      <c r="R25" s="55" t="n">
        <v>3.4</v>
      </c>
      <c r="S25" s="55" t="n">
        <v>3.4</v>
      </c>
      <c r="T25" s="55" t="n">
        <v>0</v>
      </c>
      <c r="U25" s="55" t="n">
        <v>0</v>
      </c>
      <c r="V25" s="55" t="n">
        <v>2.7</v>
      </c>
      <c r="W25" s="55" t="n">
        <v>2.7</v>
      </c>
      <c r="X25" t="n">
        <v>0</v>
      </c>
      <c r="Y25" t="n">
        <v>0</v>
      </c>
      <c r="Z25" t="inlineStr"/>
      <c r="AA25" t="inlineStr"/>
      <c r="AB25" t="n">
        <v>0</v>
      </c>
      <c r="AC25" t="n">
        <v>0</v>
      </c>
      <c r="AD25" t="inlineStr"/>
      <c r="AE25" t="inlineStr"/>
      <c r="AF25" t="n">
        <v>0</v>
      </c>
      <c r="AG25" t="n">
        <v>0</v>
      </c>
      <c r="AH25" t="inlineStr"/>
      <c r="AI25" t="inlineStr"/>
      <c r="AJ25" t="n">
        <v>0</v>
      </c>
      <c r="AK25" t="n">
        <v>0</v>
      </c>
      <c r="AL25" t="inlineStr"/>
      <c r="AM25" t="inlineStr"/>
      <c r="AN25" t="n">
        <v>1.7</v>
      </c>
      <c r="AO25" t="n">
        <v>1.7</v>
      </c>
      <c r="AP25" t="inlineStr"/>
      <c r="AQ25" t="inlineStr"/>
    </row>
    <row r="26">
      <c r="C26" s="55" t="inlineStr">
        <is>
          <t>Other Long-term Assets</t>
        </is>
      </c>
      <c r="D26" s="55" t="n">
        <v>18</v>
      </c>
      <c r="E26" s="55" t="n">
        <v>18</v>
      </c>
      <c r="F26" s="55" t="n">
        <v>4</v>
      </c>
      <c r="G26" s="55" t="n">
        <v>4</v>
      </c>
      <c r="H26" s="55" t="n">
        <v>12.3</v>
      </c>
      <c r="I26" s="55" t="n">
        <v>12.3</v>
      </c>
      <c r="J26" s="55" t="n">
        <v>1.4</v>
      </c>
      <c r="K26" s="55" t="n">
        <v>1.4</v>
      </c>
      <c r="L26" s="55" t="n">
        <v>10</v>
      </c>
      <c r="M26" s="55" t="n">
        <v>10</v>
      </c>
      <c r="N26" s="55" t="n">
        <v>1.7</v>
      </c>
      <c r="O26" s="55" t="n">
        <v>1.7</v>
      </c>
      <c r="P26" s="55" t="n">
        <v>8.699999999999999</v>
      </c>
      <c r="Q26" s="55" t="n">
        <v>8.699999999999999</v>
      </c>
      <c r="R26" s="55" t="n">
        <v>1.1</v>
      </c>
      <c r="S26" s="55" t="n">
        <v>1.1</v>
      </c>
      <c r="T26" s="55" t="n">
        <v>11.2</v>
      </c>
      <c r="U26" s="55" t="n">
        <v>11.2</v>
      </c>
      <c r="V26" s="55" t="n">
        <v>10.1</v>
      </c>
      <c r="W26" s="55" t="n">
        <v>10.1</v>
      </c>
      <c r="X26" t="n">
        <v>11.1</v>
      </c>
      <c r="Y26" t="n">
        <v>11.1</v>
      </c>
      <c r="Z26" t="n">
        <v>9.1</v>
      </c>
      <c r="AA26" t="n">
        <v>9.1</v>
      </c>
      <c r="AB26" t="n">
        <v>4.7</v>
      </c>
      <c r="AC26" t="n">
        <v>4.7</v>
      </c>
      <c r="AD26" t="n">
        <v>3.9</v>
      </c>
      <c r="AE26" t="n">
        <v>3.9</v>
      </c>
      <c r="AF26" t="n">
        <v>3.2</v>
      </c>
      <c r="AG26" t="n">
        <v>3.2</v>
      </c>
      <c r="AH26" t="n">
        <v>3</v>
      </c>
      <c r="AI26" t="n">
        <v>3</v>
      </c>
      <c r="AJ26" t="n">
        <v>3.2</v>
      </c>
      <c r="AK26" t="n">
        <v>3.2</v>
      </c>
      <c r="AL26" t="n">
        <v>4.2</v>
      </c>
      <c r="AM26" t="n">
        <v>4.2</v>
      </c>
      <c r="AN26" t="n">
        <v>3.1</v>
      </c>
      <c r="AO26" t="n">
        <v>3.1</v>
      </c>
      <c r="AP26" t="n">
        <v>4.8</v>
      </c>
      <c r="AQ26" t="n">
        <v>4.8</v>
      </c>
    </row>
    <row r="27">
      <c r="C27" s="55" t="inlineStr">
        <is>
          <t>Total Assets</t>
        </is>
      </c>
      <c r="D27" s="55" t="n">
        <v>201.2</v>
      </c>
      <c r="E27" s="55" t="n">
        <v>201.2</v>
      </c>
      <c r="F27" s="55" t="n">
        <v>239.9</v>
      </c>
      <c r="G27" s="55" t="n">
        <v>239.9</v>
      </c>
      <c r="H27" s="55" t="n">
        <v>193.6</v>
      </c>
      <c r="I27" s="55" t="n">
        <v>193.6</v>
      </c>
      <c r="J27" s="55" t="n">
        <v>163.9</v>
      </c>
      <c r="K27" s="55" t="n">
        <v>163.9</v>
      </c>
      <c r="L27" s="55" t="n">
        <v>172.9</v>
      </c>
      <c r="M27" s="55" t="n">
        <v>172.9</v>
      </c>
      <c r="N27" s="55" t="n">
        <v>175</v>
      </c>
      <c r="O27" s="55" t="n">
        <v>175</v>
      </c>
      <c r="P27" s="55" t="n">
        <v>179.6</v>
      </c>
      <c r="Q27" s="55" t="n">
        <v>179.6</v>
      </c>
      <c r="R27" s="55" t="n">
        <v>174.2</v>
      </c>
      <c r="S27" s="55" t="n">
        <v>174.2</v>
      </c>
      <c r="T27" s="55" t="n">
        <v>162.3</v>
      </c>
      <c r="U27" s="55" t="n">
        <v>162.3</v>
      </c>
      <c r="V27" s="55" t="n">
        <v>155.1</v>
      </c>
      <c r="W27" s="55" t="n">
        <v>155.1</v>
      </c>
      <c r="X27" t="n">
        <v>162.6</v>
      </c>
      <c r="Y27" t="n">
        <v>162.6</v>
      </c>
      <c r="Z27" t="n">
        <v>166.2</v>
      </c>
      <c r="AA27" t="n">
        <v>166.2</v>
      </c>
      <c r="AB27" t="n">
        <v>162.9</v>
      </c>
      <c r="AC27" t="n">
        <v>162.9</v>
      </c>
      <c r="AD27" t="n">
        <v>163.8</v>
      </c>
      <c r="AE27" t="n">
        <v>163.8</v>
      </c>
      <c r="AF27" t="n">
        <v>165.6</v>
      </c>
      <c r="AG27" t="n">
        <v>165.6</v>
      </c>
      <c r="AH27" t="n">
        <v>164.5</v>
      </c>
      <c r="AI27" t="n">
        <v>164.5</v>
      </c>
      <c r="AJ27" t="n">
        <v>151.7</v>
      </c>
      <c r="AK27" t="n">
        <v>151.7</v>
      </c>
      <c r="AL27" t="n">
        <v>150.5</v>
      </c>
      <c r="AM27" t="n">
        <v>150.5</v>
      </c>
      <c r="AN27" t="n">
        <v>155.2</v>
      </c>
      <c r="AO27" t="n">
        <v>155.2</v>
      </c>
      <c r="AP27" t="n">
        <v>146.1</v>
      </c>
      <c r="AQ27" t="n">
        <v>146.1</v>
      </c>
    </row>
    <row r="28"/>
    <row r="29">
      <c r="C29" s="55" t="inlineStr">
        <is>
          <t>Accounts Payable</t>
        </is>
      </c>
      <c r="D29" s="55" t="n">
        <v>15.8</v>
      </c>
      <c r="E29" s="55" t="n">
        <v>15.8</v>
      </c>
      <c r="F29" s="55" t="n">
        <v>20.8</v>
      </c>
      <c r="G29" s="55" t="n">
        <v>20.8</v>
      </c>
      <c r="H29" s="55" t="n">
        <v>15</v>
      </c>
      <c r="I29" s="55" t="n">
        <v>15</v>
      </c>
      <c r="J29" s="55" t="n">
        <v>16.1</v>
      </c>
      <c r="K29" s="55" t="n">
        <v>16.1</v>
      </c>
      <c r="L29" s="55" t="n">
        <v>19.8</v>
      </c>
      <c r="M29" s="55" t="n">
        <v>19.8</v>
      </c>
      <c r="N29" s="55" t="n">
        <v>15.6</v>
      </c>
      <c r="O29" s="55" t="n">
        <v>15.6</v>
      </c>
      <c r="P29" s="55" t="n">
        <v>18.6</v>
      </c>
      <c r="Q29" s="55" t="n">
        <v>18.6</v>
      </c>
      <c r="R29" s="55" t="n">
        <v>10.6</v>
      </c>
      <c r="S29" s="55" t="n">
        <v>10.6</v>
      </c>
      <c r="T29" s="55" t="n">
        <v>12.9</v>
      </c>
      <c r="U29" s="55" t="n">
        <v>12.9</v>
      </c>
      <c r="V29" s="55" t="n">
        <v>7.1</v>
      </c>
      <c r="W29" s="55" t="n">
        <v>7.1</v>
      </c>
      <c r="X29" t="n">
        <v>12</v>
      </c>
      <c r="Y29" t="n">
        <v>12</v>
      </c>
      <c r="Z29" t="n">
        <v>10.3</v>
      </c>
      <c r="AA29" t="n">
        <v>10.3</v>
      </c>
      <c r="AB29" t="n">
        <v>8.9</v>
      </c>
      <c r="AC29" t="n">
        <v>8.9</v>
      </c>
      <c r="AD29" t="n">
        <v>11.8</v>
      </c>
      <c r="AE29" t="n">
        <v>11.8</v>
      </c>
      <c r="AF29" t="n">
        <v>12.6</v>
      </c>
      <c r="AG29" t="n">
        <v>12.6</v>
      </c>
      <c r="AH29" t="n">
        <v>11.6</v>
      </c>
      <c r="AI29" t="n">
        <v>11.6</v>
      </c>
      <c r="AJ29" t="n">
        <v>13.6</v>
      </c>
      <c r="AK29" t="n">
        <v>13.6</v>
      </c>
      <c r="AL29" t="n">
        <v>11.2</v>
      </c>
      <c r="AM29" t="n">
        <v>11.2</v>
      </c>
      <c r="AN29" t="n">
        <v>12.9</v>
      </c>
      <c r="AO29" t="n">
        <v>12.9</v>
      </c>
      <c r="AP29" t="n">
        <v>12.3</v>
      </c>
      <c r="AQ29" t="n">
        <v>12.3</v>
      </c>
    </row>
    <row r="30">
      <c r="C30" s="55" t="inlineStr">
        <is>
          <t>Accrued Expenses</t>
        </is>
      </c>
      <c r="D30" s="55" t="n">
        <v>9.1</v>
      </c>
      <c r="E30" s="55" t="n">
        <v>9.1</v>
      </c>
      <c r="F30" s="55" t="inlineStr"/>
      <c r="G30" s="55" t="inlineStr"/>
      <c r="H30" s="55" t="n">
        <v>11.4</v>
      </c>
      <c r="I30" s="55" t="n">
        <v>11.4</v>
      </c>
      <c r="J30" s="55" t="inlineStr"/>
      <c r="K30" s="55" t="inlineStr"/>
      <c r="L30" s="55" t="n">
        <v>9</v>
      </c>
      <c r="M30" s="55" t="n">
        <v>9</v>
      </c>
      <c r="N30" s="55" t="inlineStr"/>
      <c r="O30" s="55" t="inlineStr"/>
      <c r="P30" s="55" t="n">
        <v>6.2</v>
      </c>
      <c r="Q30" s="55" t="n">
        <v>6.2</v>
      </c>
      <c r="R30" s="55" t="inlineStr"/>
      <c r="S30" s="55" t="inlineStr"/>
      <c r="T30" s="55" t="n">
        <v>4.9</v>
      </c>
      <c r="U30" s="55" t="n">
        <v>4.9</v>
      </c>
      <c r="V30" s="55" t="inlineStr"/>
      <c r="W30" s="55" t="inlineStr"/>
      <c r="X30" t="n">
        <v>6</v>
      </c>
      <c r="Y30" t="n">
        <v>6</v>
      </c>
      <c r="Z30" t="inlineStr"/>
      <c r="AA30" t="inlineStr"/>
      <c r="AB30" t="n">
        <v>6.1</v>
      </c>
      <c r="AC30" t="n">
        <v>6.1</v>
      </c>
      <c r="AD30" t="inlineStr"/>
      <c r="AE30" t="inlineStr"/>
      <c r="AF30" t="n">
        <v>7.5</v>
      </c>
      <c r="AG30" t="n">
        <v>7.5</v>
      </c>
      <c r="AH30" t="inlineStr"/>
      <c r="AI30" t="inlineStr"/>
      <c r="AJ30" t="n">
        <v>5.9</v>
      </c>
      <c r="AK30" t="n">
        <v>5.9</v>
      </c>
      <c r="AL30" t="inlineStr"/>
      <c r="AM30" t="inlineStr"/>
      <c r="AN30" t="n">
        <v>5.8</v>
      </c>
      <c r="AO30" t="n">
        <v>5.8</v>
      </c>
      <c r="AP30" t="inlineStr"/>
      <c r="AQ30" t="inlineStr"/>
    </row>
    <row r="31">
      <c r="C31" s="55" t="inlineStr">
        <is>
          <t>Short-term Borrowings</t>
        </is>
      </c>
      <c r="D31" s="55" t="n">
        <v>14.1</v>
      </c>
      <c r="E31" s="55" t="n">
        <v>14.1</v>
      </c>
      <c r="F31" s="55" t="n">
        <v>97.40000000000001</v>
      </c>
      <c r="G31" s="55" t="n">
        <v>97.40000000000001</v>
      </c>
      <c r="H31" s="55" t="n">
        <v>0.5</v>
      </c>
      <c r="I31" s="55" t="n">
        <v>0.5</v>
      </c>
      <c r="J31" s="55" t="n">
        <v>3.1</v>
      </c>
      <c r="K31" s="55" t="n">
        <v>3.1</v>
      </c>
      <c r="L31" s="55" t="n">
        <v>0.1</v>
      </c>
      <c r="M31" s="55" t="n">
        <v>0.1</v>
      </c>
      <c r="N31" s="55" t="n">
        <v>0.5</v>
      </c>
      <c r="O31" s="55" t="n">
        <v>0.5</v>
      </c>
      <c r="P31" s="55" t="inlineStr"/>
      <c r="Q31" s="55" t="inlineStr"/>
      <c r="R31" s="55" t="inlineStr"/>
      <c r="S31" s="55" t="inlineStr"/>
      <c r="T31" s="55" t="inlineStr"/>
      <c r="U31" s="55" t="inlineStr"/>
      <c r="V31" s="55" t="n">
        <v>0</v>
      </c>
      <c r="W31" s="55" t="n">
        <v>0</v>
      </c>
      <c r="X31" t="inlineStr"/>
      <c r="Y31" t="inlineStr"/>
      <c r="Z31" t="n">
        <v>0</v>
      </c>
      <c r="AA31" t="n">
        <v>0</v>
      </c>
      <c r="AB31" t="inlineStr"/>
      <c r="AC31" t="inlineStr"/>
      <c r="AD31" t="n">
        <v>0.1</v>
      </c>
      <c r="AE31" t="n">
        <v>0.1</v>
      </c>
      <c r="AF31" t="inlineStr"/>
      <c r="AG31" t="inlineStr"/>
      <c r="AH31" t="n">
        <v>0.6</v>
      </c>
      <c r="AI31" t="n">
        <v>0.6</v>
      </c>
      <c r="AJ31" t="inlineStr"/>
      <c r="AK31" t="inlineStr"/>
      <c r="AL31" t="n">
        <v>0.2</v>
      </c>
      <c r="AM31" t="n">
        <v>0.2</v>
      </c>
      <c r="AN31" t="inlineStr"/>
      <c r="AO31" t="inlineStr"/>
      <c r="AP31" t="inlineStr"/>
      <c r="AQ31" t="inlineStr"/>
    </row>
    <row r="32">
      <c r="C32" s="55" t="inlineStr">
        <is>
          <t>Current Portion of LT Debt</t>
        </is>
      </c>
      <c r="D32" s="55" t="inlineStr"/>
      <c r="E32" s="55" t="inlineStr"/>
      <c r="F32" s="55" t="inlineStr"/>
      <c r="G32" s="55" t="inlineStr"/>
      <c r="H32" s="55" t="inlineStr"/>
      <c r="I32" s="55" t="inlineStr"/>
      <c r="J32" s="55" t="inlineStr"/>
      <c r="K32" s="55" t="inlineStr"/>
      <c r="L32" s="55" t="inlineStr"/>
      <c r="M32" s="55" t="inlineStr"/>
      <c r="N32" s="55" t="inlineStr"/>
      <c r="O32" s="55" t="inlineStr"/>
      <c r="P32" s="55" t="inlineStr"/>
      <c r="Q32" s="55" t="inlineStr"/>
      <c r="R32" s="55" t="inlineStr"/>
      <c r="S32" s="55" t="inlineStr"/>
      <c r="T32" s="55" t="inlineStr"/>
      <c r="U32" s="55" t="inlineStr"/>
      <c r="V32" s="55" t="inlineStr"/>
      <c r="W32" s="55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9.5</v>
      </c>
      <c r="AO32" t="n">
        <v>9.5</v>
      </c>
      <c r="AP32" t="n">
        <v>5</v>
      </c>
      <c r="AQ32" t="n">
        <v>5</v>
      </c>
    </row>
    <row r="33">
      <c r="C33" s="55" t="inlineStr">
        <is>
          <t>Current Portion of Capital Lease Obligations</t>
        </is>
      </c>
      <c r="D33" s="55" t="n">
        <v>0.3</v>
      </c>
      <c r="E33" s="55" t="n">
        <v>0.3</v>
      </c>
      <c r="F33" s="55" t="n">
        <v>1.1</v>
      </c>
      <c r="G33" s="55" t="n">
        <v>1.1</v>
      </c>
      <c r="H33" s="55" t="n">
        <v>1</v>
      </c>
      <c r="I33" s="55" t="n">
        <v>1</v>
      </c>
      <c r="J33" s="55" t="n">
        <v>1</v>
      </c>
      <c r="K33" s="55" t="n">
        <v>1</v>
      </c>
      <c r="L33" s="55" t="n">
        <v>1</v>
      </c>
      <c r="M33" s="55" t="n">
        <v>1</v>
      </c>
      <c r="N33" s="55" t="n">
        <v>0.7</v>
      </c>
      <c r="O33" s="55" t="n">
        <v>0.7</v>
      </c>
      <c r="P33" s="55" t="n">
        <v>0.9</v>
      </c>
      <c r="Q33" s="55" t="n">
        <v>0.9</v>
      </c>
      <c r="R33" s="55" t="n">
        <v>0.7</v>
      </c>
      <c r="S33" s="55" t="n">
        <v>0.7</v>
      </c>
      <c r="T33" s="55" t="n">
        <v>0.3</v>
      </c>
      <c r="U33" s="55" t="n">
        <v>0.3</v>
      </c>
      <c r="V33" s="55" t="n">
        <v>0.3</v>
      </c>
      <c r="W33" s="55" t="n">
        <v>0.3</v>
      </c>
      <c r="X33" t="n">
        <v>0.4</v>
      </c>
      <c r="Y33" t="n">
        <v>0.4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0.2</v>
      </c>
      <c r="AG33" t="n">
        <v>0.2</v>
      </c>
      <c r="AH33" t="n">
        <v>0.1</v>
      </c>
      <c r="AI33" t="n">
        <v>0.1</v>
      </c>
      <c r="AJ33" t="n">
        <v>0.1</v>
      </c>
      <c r="AK33" t="n">
        <v>0.1</v>
      </c>
      <c r="AL33" t="n">
        <v>0.1</v>
      </c>
      <c r="AM33" t="n">
        <v>0.1</v>
      </c>
      <c r="AN33" t="n">
        <v>0.2</v>
      </c>
      <c r="AO33" t="n">
        <v>0.2</v>
      </c>
      <c r="AP33" t="n">
        <v>0.2</v>
      </c>
      <c r="AQ33" t="n">
        <v>0.2</v>
      </c>
    </row>
    <row r="34">
      <c r="C34" s="55" t="inlineStr">
        <is>
          <t>Other Current Liabilities</t>
        </is>
      </c>
      <c r="D34" s="55" t="n">
        <v>27.7</v>
      </c>
      <c r="E34" s="55" t="n">
        <v>27.7</v>
      </c>
      <c r="F34" s="55" t="n">
        <v>58</v>
      </c>
      <c r="G34" s="55" t="n">
        <v>58</v>
      </c>
      <c r="H34" s="55" t="n">
        <v>25.9</v>
      </c>
      <c r="I34" s="55" t="n">
        <v>25.9</v>
      </c>
      <c r="J34" s="55" t="n">
        <v>29.9</v>
      </c>
      <c r="K34" s="55" t="n">
        <v>29.9</v>
      </c>
      <c r="L34" s="55" t="n">
        <v>21.7</v>
      </c>
      <c r="M34" s="55" t="n">
        <v>21.7</v>
      </c>
      <c r="N34" s="55" t="n">
        <v>33.5</v>
      </c>
      <c r="O34" s="55" t="n">
        <v>33.5</v>
      </c>
      <c r="P34" s="55" t="n">
        <v>25.7</v>
      </c>
      <c r="Q34" s="55" t="n">
        <v>25.7</v>
      </c>
      <c r="R34" s="55" t="n">
        <v>34.5</v>
      </c>
      <c r="S34" s="55" t="n">
        <v>34.5</v>
      </c>
      <c r="T34" s="55" t="n">
        <v>13.3</v>
      </c>
      <c r="U34" s="55" t="n">
        <v>13.3</v>
      </c>
      <c r="V34" s="55" t="n">
        <v>21.7</v>
      </c>
      <c r="W34" s="55" t="n">
        <v>21.7</v>
      </c>
      <c r="X34" t="n">
        <v>13.1</v>
      </c>
      <c r="Y34" t="n">
        <v>13.1</v>
      </c>
      <c r="Z34" t="n">
        <v>20.1</v>
      </c>
      <c r="AA34" t="n">
        <v>20.1</v>
      </c>
      <c r="AB34" t="n">
        <v>15.6</v>
      </c>
      <c r="AC34" t="n">
        <v>15.6</v>
      </c>
      <c r="AD34" t="n">
        <v>22.5</v>
      </c>
      <c r="AE34" t="n">
        <v>22.5</v>
      </c>
      <c r="AF34" t="n">
        <v>20.1</v>
      </c>
      <c r="AG34" t="n">
        <v>20.1</v>
      </c>
      <c r="AH34" t="n">
        <v>28.2</v>
      </c>
      <c r="AI34" t="n">
        <v>28.2</v>
      </c>
      <c r="AJ34" t="n">
        <v>12.7</v>
      </c>
      <c r="AK34" t="n">
        <v>12.7</v>
      </c>
      <c r="AL34" t="n">
        <v>19.5</v>
      </c>
      <c r="AM34" t="n">
        <v>19.5</v>
      </c>
      <c r="AN34" t="n">
        <v>13.6</v>
      </c>
      <c r="AO34" t="n">
        <v>13.6</v>
      </c>
      <c r="AP34" t="n">
        <v>22.5</v>
      </c>
      <c r="AQ34" t="n">
        <v>22.5</v>
      </c>
    </row>
    <row r="35">
      <c r="C35" s="55" t="inlineStr">
        <is>
          <t>Total Current Liabilities</t>
        </is>
      </c>
      <c r="D35" s="55" t="n">
        <v>67</v>
      </c>
      <c r="E35" s="55" t="n">
        <v>67</v>
      </c>
      <c r="F35" s="55" t="n">
        <v>177.2</v>
      </c>
      <c r="G35" s="55" t="n">
        <v>177.2</v>
      </c>
      <c r="H35" s="55" t="n">
        <v>53.8</v>
      </c>
      <c r="I35" s="55" t="n">
        <v>53.8</v>
      </c>
      <c r="J35" s="55" t="n">
        <v>50.2</v>
      </c>
      <c r="K35" s="55" t="n">
        <v>50.2</v>
      </c>
      <c r="L35" s="55" t="n">
        <v>51.7</v>
      </c>
      <c r="M35" s="55" t="n">
        <v>51.7</v>
      </c>
      <c r="N35" s="55" t="n">
        <v>50.4</v>
      </c>
      <c r="O35" s="55" t="n">
        <v>50.4</v>
      </c>
      <c r="P35" s="55" t="n">
        <v>51.4</v>
      </c>
      <c r="Q35" s="55" t="n">
        <v>51.4</v>
      </c>
      <c r="R35" s="55" t="n">
        <v>45.8</v>
      </c>
      <c r="S35" s="55" t="n">
        <v>45.8</v>
      </c>
      <c r="T35" s="55" t="n">
        <v>31.4</v>
      </c>
      <c r="U35" s="55" t="n">
        <v>31.4</v>
      </c>
      <c r="V35" s="55" t="n">
        <v>29.2</v>
      </c>
      <c r="W35" s="55" t="n">
        <v>29.2</v>
      </c>
      <c r="X35" t="n">
        <v>31.4</v>
      </c>
      <c r="Y35" t="n">
        <v>31.4</v>
      </c>
      <c r="Z35" t="n">
        <v>30.7</v>
      </c>
      <c r="AA35" t="n">
        <v>30.7</v>
      </c>
      <c r="AB35" t="n">
        <v>30.9</v>
      </c>
      <c r="AC35" t="n">
        <v>30.9</v>
      </c>
      <c r="AD35" t="n">
        <v>34.8</v>
      </c>
      <c r="AE35" t="n">
        <v>34.8</v>
      </c>
      <c r="AF35" t="n">
        <v>40.5</v>
      </c>
      <c r="AG35" t="n">
        <v>40.5</v>
      </c>
      <c r="AH35" t="n">
        <v>40.4</v>
      </c>
      <c r="AI35" t="n">
        <v>40.4</v>
      </c>
      <c r="AJ35" t="n">
        <v>32.3</v>
      </c>
      <c r="AK35" t="n">
        <v>32.3</v>
      </c>
      <c r="AL35" t="n">
        <v>31.1</v>
      </c>
      <c r="AM35" t="n">
        <v>31.1</v>
      </c>
      <c r="AN35" t="n">
        <v>42.1</v>
      </c>
      <c r="AO35" t="n">
        <v>42.1</v>
      </c>
      <c r="AP35" t="n">
        <v>40</v>
      </c>
      <c r="AQ35" t="n">
        <v>40</v>
      </c>
    </row>
    <row r="36"/>
    <row r="37">
      <c r="C37" s="55" t="inlineStr">
        <is>
          <t>Long-term Debt</t>
        </is>
      </c>
      <c r="D37" s="55" t="n">
        <v>61.1</v>
      </c>
      <c r="E37" s="55" t="n">
        <v>61.1</v>
      </c>
      <c r="F37" s="55" t="n">
        <v>0.8</v>
      </c>
      <c r="G37" s="55" t="n">
        <v>0.8</v>
      </c>
      <c r="H37" s="55" t="inlineStr"/>
      <c r="I37" s="55" t="inlineStr"/>
      <c r="J37" s="55" t="inlineStr"/>
      <c r="K37" s="55" t="inlineStr"/>
      <c r="L37" s="55" t="inlineStr"/>
      <c r="M37" s="55" t="inlineStr"/>
      <c r="N37" s="55" t="inlineStr"/>
      <c r="O37" s="55" t="inlineStr"/>
      <c r="P37" s="55" t="inlineStr"/>
      <c r="Q37" s="55" t="inlineStr"/>
      <c r="R37" s="55" t="inlineStr"/>
      <c r="S37" s="55" t="inlineStr"/>
      <c r="T37" s="55" t="inlineStr"/>
      <c r="U37" s="55" t="inlineStr"/>
      <c r="V37" s="55" t="inlineStr"/>
      <c r="W37" s="55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0.9</v>
      </c>
      <c r="AK37" t="n">
        <v>0.9</v>
      </c>
      <c r="AL37" t="n">
        <v>1.9</v>
      </c>
      <c r="AM37" t="n">
        <v>1.9</v>
      </c>
      <c r="AN37" t="n">
        <v>1.6</v>
      </c>
      <c r="AO37" t="n">
        <v>1.6</v>
      </c>
      <c r="AP37" t="n">
        <v>1.4</v>
      </c>
      <c r="AQ37" t="n">
        <v>1.4</v>
      </c>
    </row>
    <row r="38">
      <c r="C38" s="55" t="inlineStr">
        <is>
          <t>Capital Leases</t>
        </is>
      </c>
      <c r="D38" s="55" t="n">
        <v>0.5</v>
      </c>
      <c r="E38" s="55" t="n">
        <v>0.5</v>
      </c>
      <c r="F38" s="55" t="n">
        <v>2.2</v>
      </c>
      <c r="G38" s="55" t="n">
        <v>2.2</v>
      </c>
      <c r="H38" s="55" t="n">
        <v>1.7</v>
      </c>
      <c r="I38" s="55" t="n">
        <v>1.7</v>
      </c>
      <c r="J38" s="55" t="n">
        <v>1.2</v>
      </c>
      <c r="K38" s="55" t="n">
        <v>1.2</v>
      </c>
      <c r="L38" s="55" t="n">
        <v>1.3</v>
      </c>
      <c r="M38" s="55" t="n">
        <v>1.3</v>
      </c>
      <c r="N38" s="55" t="n">
        <v>0.6</v>
      </c>
      <c r="O38" s="55" t="n">
        <v>0.6</v>
      </c>
      <c r="P38" s="55" t="n">
        <v>0.9</v>
      </c>
      <c r="Q38" s="55" t="n">
        <v>0.9</v>
      </c>
      <c r="R38" s="55" t="n">
        <v>1</v>
      </c>
      <c r="S38" s="55" t="n">
        <v>1</v>
      </c>
      <c r="T38" s="55" t="n">
        <v>0.9</v>
      </c>
      <c r="U38" s="55" t="n">
        <v>0.9</v>
      </c>
      <c r="V38" s="55" t="n">
        <v>0.7</v>
      </c>
      <c r="W38" s="55" t="n">
        <v>0.7</v>
      </c>
      <c r="X38" t="n">
        <v>0.4</v>
      </c>
      <c r="Y38" t="n">
        <v>0.4</v>
      </c>
      <c r="Z38" t="n">
        <v>0.3</v>
      </c>
      <c r="AA38" t="n">
        <v>0.3</v>
      </c>
      <c r="AB38" t="n">
        <v>0.5</v>
      </c>
      <c r="AC38" t="n">
        <v>0.5</v>
      </c>
      <c r="AD38" t="n">
        <v>0.3</v>
      </c>
      <c r="AE38" t="n">
        <v>0.3</v>
      </c>
      <c r="AF38" t="n">
        <v>0.2</v>
      </c>
      <c r="AG38" t="n">
        <v>0.2</v>
      </c>
      <c r="AH38" t="n">
        <v>0.2</v>
      </c>
      <c r="AI38" t="n">
        <v>0.2</v>
      </c>
      <c r="AJ38" t="n">
        <v>0.4</v>
      </c>
      <c r="AK38" t="n">
        <v>0.4</v>
      </c>
      <c r="AL38" t="n">
        <v>0.3</v>
      </c>
      <c r="AM38" t="n">
        <v>0.3</v>
      </c>
      <c r="AN38" t="n">
        <v>0.1</v>
      </c>
      <c r="AO38" t="n">
        <v>0.1</v>
      </c>
      <c r="AP38" t="n">
        <v>0.1</v>
      </c>
      <c r="AQ38" t="n">
        <v>0.1</v>
      </c>
    </row>
    <row r="39">
      <c r="C39" s="55" t="inlineStr">
        <is>
          <t>Other Non-current Liabilities</t>
        </is>
      </c>
      <c r="D39" s="55" t="n">
        <v>8</v>
      </c>
      <c r="E39" s="55" t="n">
        <v>8</v>
      </c>
      <c r="F39" s="55" t="n">
        <v>6.4</v>
      </c>
      <c r="G39" s="55" t="n">
        <v>6.4</v>
      </c>
      <c r="H39" s="55" t="n">
        <v>4.9</v>
      </c>
      <c r="I39" s="55" t="n">
        <v>4.9</v>
      </c>
      <c r="J39" s="55" t="n">
        <v>4.7</v>
      </c>
      <c r="K39" s="55" t="n">
        <v>4.7</v>
      </c>
      <c r="L39" s="55" t="n">
        <v>2.7</v>
      </c>
      <c r="M39" s="55" t="n">
        <v>2.7</v>
      </c>
      <c r="N39" s="55" t="n">
        <v>2.7</v>
      </c>
      <c r="O39" s="55" t="n">
        <v>2.7</v>
      </c>
      <c r="P39" s="55" t="n">
        <v>3.8</v>
      </c>
      <c r="Q39" s="55" t="n">
        <v>3.8</v>
      </c>
      <c r="R39" s="55" t="n">
        <v>3.6</v>
      </c>
      <c r="S39" s="55" t="n">
        <v>3.6</v>
      </c>
      <c r="T39" s="55" t="n">
        <v>3.7</v>
      </c>
      <c r="U39" s="55" t="n">
        <v>3.7</v>
      </c>
      <c r="V39" s="55" t="n">
        <v>3.6</v>
      </c>
      <c r="W39" s="55" t="n">
        <v>3.6</v>
      </c>
      <c r="X39" t="n">
        <v>4.2</v>
      </c>
      <c r="Y39" t="n">
        <v>4.2</v>
      </c>
      <c r="Z39" t="n">
        <v>4.8</v>
      </c>
      <c r="AA39" t="n">
        <v>4.8</v>
      </c>
      <c r="AB39" t="n">
        <v>4</v>
      </c>
      <c r="AC39" t="n">
        <v>4</v>
      </c>
      <c r="AD39" t="n">
        <v>4.2</v>
      </c>
      <c r="AE39" t="n">
        <v>4.2</v>
      </c>
      <c r="AF39" t="n">
        <v>3.6</v>
      </c>
      <c r="AG39" t="n">
        <v>3.6</v>
      </c>
      <c r="AH39" t="n">
        <v>3.7</v>
      </c>
      <c r="AI39" t="n">
        <v>3.7</v>
      </c>
      <c r="AJ39" t="n">
        <v>3.6</v>
      </c>
      <c r="AK39" t="n">
        <v>3.6</v>
      </c>
      <c r="AL39" t="n">
        <v>3.7</v>
      </c>
      <c r="AM39" t="n">
        <v>3.7</v>
      </c>
      <c r="AN39" t="n">
        <v>3.4</v>
      </c>
      <c r="AO39" t="n">
        <v>3.4</v>
      </c>
      <c r="AP39" t="n">
        <v>3.5</v>
      </c>
      <c r="AQ39" t="n">
        <v>3.5</v>
      </c>
    </row>
    <row r="40">
      <c r="C40" s="55" t="inlineStr">
        <is>
          <t>Total Liabilities</t>
        </is>
      </c>
      <c r="D40" s="55" t="n">
        <v>136.6</v>
      </c>
      <c r="E40" s="55" t="n">
        <v>136.6</v>
      </c>
      <c r="F40" s="55" t="n">
        <v>186.5</v>
      </c>
      <c r="G40" s="55" t="n">
        <v>186.5</v>
      </c>
      <c r="H40" s="55" t="n">
        <v>60.3</v>
      </c>
      <c r="I40" s="55" t="n">
        <v>60.3</v>
      </c>
      <c r="J40" s="55" t="n">
        <v>56</v>
      </c>
      <c r="K40" s="55" t="n">
        <v>56</v>
      </c>
      <c r="L40" s="55" t="n">
        <v>55.6</v>
      </c>
      <c r="M40" s="55" t="n">
        <v>55.6</v>
      </c>
      <c r="N40" s="55" t="n">
        <v>53.7</v>
      </c>
      <c r="O40" s="55" t="n">
        <v>53.7</v>
      </c>
      <c r="P40" s="55" t="n">
        <v>56.1</v>
      </c>
      <c r="Q40" s="55" t="n">
        <v>56.1</v>
      </c>
      <c r="R40" s="55" t="n">
        <v>50.5</v>
      </c>
      <c r="S40" s="55" t="n">
        <v>50.5</v>
      </c>
      <c r="T40" s="55" t="n">
        <v>36</v>
      </c>
      <c r="U40" s="55" t="n">
        <v>36</v>
      </c>
      <c r="V40" s="55" t="n">
        <v>33.5</v>
      </c>
      <c r="W40" s="55" t="n">
        <v>33.5</v>
      </c>
      <c r="X40" t="n">
        <v>36.1</v>
      </c>
      <c r="Y40" t="n">
        <v>36.1</v>
      </c>
      <c r="Z40" t="n">
        <v>35.8</v>
      </c>
      <c r="AA40" t="n">
        <v>35.8</v>
      </c>
      <c r="AB40" t="n">
        <v>35.4</v>
      </c>
      <c r="AC40" t="n">
        <v>35.4</v>
      </c>
      <c r="AD40" t="n">
        <v>39.2</v>
      </c>
      <c r="AE40" t="n">
        <v>39.2</v>
      </c>
      <c r="AF40" t="n">
        <v>44.3</v>
      </c>
      <c r="AG40" t="n">
        <v>44.3</v>
      </c>
      <c r="AH40" t="n">
        <v>44.3</v>
      </c>
      <c r="AI40" t="n">
        <v>44.3</v>
      </c>
      <c r="AJ40" t="n">
        <v>37.2</v>
      </c>
      <c r="AK40" t="n">
        <v>37.2</v>
      </c>
      <c r="AL40" t="n">
        <v>37</v>
      </c>
      <c r="AM40" t="n">
        <v>37</v>
      </c>
      <c r="AN40" t="n">
        <v>47.2</v>
      </c>
      <c r="AO40" t="n">
        <v>47.2</v>
      </c>
      <c r="AP40" t="n">
        <v>44.9</v>
      </c>
      <c r="AQ40" t="n">
        <v>44.9</v>
      </c>
    </row>
    <row r="41"/>
    <row r="42">
      <c r="C42" s="55" t="inlineStr">
        <is>
          <t>Common Stock</t>
        </is>
      </c>
      <c r="D42" s="55" t="n">
        <v>14.6</v>
      </c>
      <c r="E42" s="55" t="n">
        <v>14.6</v>
      </c>
      <c r="F42" s="55" t="n">
        <v>14.6</v>
      </c>
      <c r="G42" s="55" t="n">
        <v>14.6</v>
      </c>
      <c r="H42" s="55" t="n">
        <v>14.6</v>
      </c>
      <c r="I42" s="55" t="n">
        <v>14.6</v>
      </c>
      <c r="J42" s="55" t="n">
        <v>14.6</v>
      </c>
      <c r="K42" s="55" t="n">
        <v>14.6</v>
      </c>
      <c r="L42" s="55" t="n">
        <v>14.6</v>
      </c>
      <c r="M42" s="55" t="n">
        <v>14.6</v>
      </c>
      <c r="N42" s="55" t="n">
        <v>14.6</v>
      </c>
      <c r="O42" s="55" t="n">
        <v>14.6</v>
      </c>
      <c r="P42" s="55" t="n">
        <v>14.6</v>
      </c>
      <c r="Q42" s="55" t="n">
        <v>14.6</v>
      </c>
      <c r="R42" s="55" t="n">
        <v>14.6</v>
      </c>
      <c r="S42" s="55" t="n">
        <v>14.6</v>
      </c>
      <c r="T42" s="55" t="n">
        <v>14.6</v>
      </c>
      <c r="U42" s="55" t="n">
        <v>14.6</v>
      </c>
      <c r="V42" s="55" t="n">
        <v>14.6</v>
      </c>
      <c r="W42" s="55" t="n">
        <v>14.6</v>
      </c>
      <c r="X42" t="n">
        <v>14.6</v>
      </c>
      <c r="Y42" t="n">
        <v>14.6</v>
      </c>
      <c r="Z42" t="n">
        <v>14.6</v>
      </c>
      <c r="AA42" t="n">
        <v>14.6</v>
      </c>
      <c r="AB42" t="n">
        <v>14.6</v>
      </c>
      <c r="AC42" t="n">
        <v>14.6</v>
      </c>
      <c r="AD42" t="n">
        <v>14.6</v>
      </c>
      <c r="AE42" t="n">
        <v>14.6</v>
      </c>
      <c r="AF42" t="n">
        <v>14.6</v>
      </c>
      <c r="AG42" t="n">
        <v>14.6</v>
      </c>
      <c r="AH42" t="n">
        <v>14.6</v>
      </c>
      <c r="AI42" t="n">
        <v>14.6</v>
      </c>
      <c r="AJ42" t="n">
        <v>14.6</v>
      </c>
      <c r="AK42" t="n">
        <v>14.6</v>
      </c>
      <c r="AL42" t="n">
        <v>14.6</v>
      </c>
      <c r="AM42" t="n">
        <v>14.6</v>
      </c>
      <c r="AN42" t="n">
        <v>14.6</v>
      </c>
      <c r="AO42" t="n">
        <v>14.6</v>
      </c>
      <c r="AP42" t="n">
        <v>14.6</v>
      </c>
      <c r="AQ42" t="n">
        <v>14.6</v>
      </c>
    </row>
    <row r="43">
      <c r="C43" s="55" t="inlineStr">
        <is>
          <t>Additional Paid In Capital</t>
        </is>
      </c>
      <c r="D43" s="55" t="inlineStr"/>
      <c r="E43" s="55" t="inlineStr"/>
      <c r="F43" s="55" t="inlineStr"/>
      <c r="G43" s="55" t="inlineStr"/>
      <c r="H43" s="55" t="inlineStr"/>
      <c r="I43" s="55" t="inlineStr"/>
      <c r="J43" s="55" t="inlineStr"/>
      <c r="K43" s="55" t="inlineStr"/>
      <c r="L43" s="55" t="inlineStr"/>
      <c r="M43" s="55" t="inlineStr"/>
      <c r="N43" s="55" t="inlineStr"/>
      <c r="O43" s="55" t="inlineStr"/>
      <c r="P43" s="55" t="inlineStr"/>
      <c r="Q43" s="55" t="inlineStr"/>
      <c r="R43" s="55" t="inlineStr"/>
      <c r="S43" s="55" t="inlineStr"/>
      <c r="T43" s="55" t="inlineStr"/>
      <c r="U43" s="55" t="inlineStr"/>
      <c r="V43" s="55" t="inlineStr"/>
      <c r="W43" s="55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C44" s="55" t="inlineStr">
        <is>
          <t>Retained Earnings</t>
        </is>
      </c>
      <c r="D44" s="55" t="n">
        <v>-32.9</v>
      </c>
      <c r="E44" s="55" t="n">
        <v>-32.9</v>
      </c>
      <c r="F44" s="55" t="n">
        <v>-30.7</v>
      </c>
      <c r="G44" s="55" t="n">
        <v>-30.7</v>
      </c>
      <c r="H44" s="55" t="n">
        <v>52.6</v>
      </c>
      <c r="I44" s="55" t="n">
        <v>52.6</v>
      </c>
      <c r="J44" s="55" t="n">
        <v>56.3</v>
      </c>
      <c r="K44" s="55" t="n">
        <v>56.3</v>
      </c>
      <c r="L44" s="55" t="n">
        <v>62.3</v>
      </c>
      <c r="M44" s="55" t="n">
        <v>62.3</v>
      </c>
      <c r="N44" s="55" t="n">
        <v>69.2</v>
      </c>
      <c r="O44" s="55" t="n">
        <v>69.2</v>
      </c>
      <c r="P44" s="55" t="n">
        <v>71</v>
      </c>
      <c r="Q44" s="55" t="n">
        <v>71</v>
      </c>
      <c r="R44" s="55" t="n">
        <v>75.3</v>
      </c>
      <c r="S44" s="55" t="n">
        <v>75.3</v>
      </c>
      <c r="T44" s="55" t="n">
        <v>79.7</v>
      </c>
      <c r="U44" s="55" t="n">
        <v>79.7</v>
      </c>
      <c r="V44" s="55" t="n">
        <v>78.7</v>
      </c>
      <c r="W44" s="55" t="n">
        <v>78.7</v>
      </c>
      <c r="X44" t="n">
        <v>83</v>
      </c>
      <c r="Y44" t="n">
        <v>83</v>
      </c>
      <c r="Z44" t="n">
        <v>86.7</v>
      </c>
      <c r="AA44" t="n">
        <v>86.7</v>
      </c>
      <c r="AB44" t="n">
        <v>88.3</v>
      </c>
      <c r="AC44" t="n">
        <v>88.3</v>
      </c>
      <c r="AD44" t="n">
        <v>87.59999999999999</v>
      </c>
      <c r="AE44" t="n">
        <v>87.59999999999999</v>
      </c>
      <c r="AF44" t="n">
        <v>85.3</v>
      </c>
      <c r="AG44" t="n">
        <v>85.3</v>
      </c>
      <c r="AH44" t="n">
        <v>83.40000000000001</v>
      </c>
      <c r="AI44" t="n">
        <v>83.40000000000001</v>
      </c>
      <c r="AJ44" t="n">
        <v>81.3</v>
      </c>
      <c r="AK44" t="n">
        <v>81.3</v>
      </c>
      <c r="AL44" t="n">
        <v>78.09999999999999</v>
      </c>
      <c r="AM44" t="n">
        <v>78.09999999999999</v>
      </c>
      <c r="AN44" t="n">
        <v>73.59999999999999</v>
      </c>
      <c r="AO44" t="n">
        <v>73.59999999999999</v>
      </c>
      <c r="AP44" t="n">
        <v>68.90000000000001</v>
      </c>
      <c r="AQ44" t="n">
        <v>68.90000000000001</v>
      </c>
    </row>
    <row r="45">
      <c r="C45" s="55" t="inlineStr">
        <is>
          <t>Treasury Stock</t>
        </is>
      </c>
      <c r="D45" s="55" t="n">
        <v>-0.1</v>
      </c>
      <c r="E45" s="55" t="n">
        <v>-0.1</v>
      </c>
      <c r="F45" s="55" t="inlineStr"/>
      <c r="G45" s="55" t="inlineStr"/>
      <c r="H45" s="55" t="n">
        <v>-0.2</v>
      </c>
      <c r="I45" s="55" t="n">
        <v>-0.2</v>
      </c>
      <c r="J45" s="55" t="n">
        <v>0</v>
      </c>
      <c r="K45" s="55" t="n">
        <v>0</v>
      </c>
      <c r="L45" s="55" t="n">
        <v>-0.1</v>
      </c>
      <c r="M45" s="55" t="n">
        <v>-0.1</v>
      </c>
      <c r="N45" s="55" t="inlineStr"/>
      <c r="O45" s="55" t="inlineStr"/>
      <c r="P45" s="55" t="inlineStr"/>
      <c r="Q45" s="55" t="inlineStr"/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5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C46" s="55" t="inlineStr">
        <is>
          <t>Other Common Equity Adj</t>
        </is>
      </c>
      <c r="D46" s="55" t="n">
        <v>83</v>
      </c>
      <c r="E46" s="55" t="n">
        <v>83</v>
      </c>
      <c r="F46" s="55" t="n">
        <v>69.40000000000001</v>
      </c>
      <c r="G46" s="55" t="n">
        <v>69.40000000000001</v>
      </c>
      <c r="H46" s="55" t="n">
        <v>66.2</v>
      </c>
      <c r="I46" s="55" t="n">
        <v>66.2</v>
      </c>
      <c r="J46" s="55" t="n">
        <v>37</v>
      </c>
      <c r="K46" s="55" t="n">
        <v>37</v>
      </c>
      <c r="L46" s="55" t="n">
        <v>40.5</v>
      </c>
      <c r="M46" s="55" t="n">
        <v>40.5</v>
      </c>
      <c r="N46" s="55" t="n">
        <v>37.5</v>
      </c>
      <c r="O46" s="55" t="n">
        <v>37.5</v>
      </c>
      <c r="P46" s="55" t="n">
        <v>37.9</v>
      </c>
      <c r="Q46" s="55" t="n">
        <v>37.9</v>
      </c>
      <c r="R46" s="55" t="n">
        <v>33.9</v>
      </c>
      <c r="S46" s="55" t="n">
        <v>33.9</v>
      </c>
      <c r="T46" s="55" t="n">
        <v>32.1</v>
      </c>
      <c r="U46" s="55" t="n">
        <v>32.1</v>
      </c>
      <c r="V46" s="55" t="n">
        <v>28.3</v>
      </c>
      <c r="W46" s="55" t="n">
        <v>28.3</v>
      </c>
      <c r="X46" t="n">
        <v>29</v>
      </c>
      <c r="Y46" t="n">
        <v>29</v>
      </c>
      <c r="Z46" t="n">
        <v>29.1</v>
      </c>
      <c r="AA46" t="n">
        <v>29.1</v>
      </c>
      <c r="AB46" t="n">
        <v>24.6</v>
      </c>
      <c r="AC46" t="n">
        <v>24.6</v>
      </c>
      <c r="AD46" t="n">
        <v>22.4</v>
      </c>
      <c r="AE46" t="n">
        <v>22.4</v>
      </c>
      <c r="AF46" t="n">
        <v>21.5</v>
      </c>
      <c r="AG46" t="n">
        <v>21.5</v>
      </c>
      <c r="AH46" t="n">
        <v>22.2</v>
      </c>
      <c r="AI46" t="n">
        <v>22.2</v>
      </c>
      <c r="AJ46" t="n">
        <v>18.5</v>
      </c>
      <c r="AK46" t="n">
        <v>18.5</v>
      </c>
      <c r="AL46" t="n">
        <v>20.9</v>
      </c>
      <c r="AM46" t="n">
        <v>20.9</v>
      </c>
      <c r="AN46" t="n">
        <v>19.9</v>
      </c>
      <c r="AO46" t="n">
        <v>19.9</v>
      </c>
      <c r="AP46" t="n">
        <v>17.7</v>
      </c>
      <c r="AQ46" t="n">
        <v>17.7</v>
      </c>
    </row>
    <row r="47">
      <c r="C47" s="55" t="inlineStr">
        <is>
          <t>Common Equity</t>
        </is>
      </c>
      <c r="D47" s="55" t="n">
        <v>64.59999999999999</v>
      </c>
      <c r="E47" s="55" t="n">
        <v>64.59999999999999</v>
      </c>
      <c r="F47" s="55" t="n">
        <v>53.3</v>
      </c>
      <c r="G47" s="55" t="n">
        <v>53.3</v>
      </c>
      <c r="H47" s="55" t="n">
        <v>133.2</v>
      </c>
      <c r="I47" s="55" t="n">
        <v>133.2</v>
      </c>
      <c r="J47" s="55" t="n">
        <v>107.8</v>
      </c>
      <c r="K47" s="55" t="n">
        <v>107.8</v>
      </c>
      <c r="L47" s="55" t="n">
        <v>117.3</v>
      </c>
      <c r="M47" s="55" t="n">
        <v>117.3</v>
      </c>
      <c r="N47" s="55" t="n">
        <v>121.4</v>
      </c>
      <c r="O47" s="55" t="n">
        <v>121.4</v>
      </c>
      <c r="P47" s="55" t="n">
        <v>123.5</v>
      </c>
      <c r="Q47" s="55" t="n">
        <v>123.5</v>
      </c>
      <c r="R47" s="55" t="n">
        <v>123.7</v>
      </c>
      <c r="S47" s="55" t="n">
        <v>123.7</v>
      </c>
      <c r="T47" s="55" t="n">
        <v>126.4</v>
      </c>
      <c r="U47" s="55" t="n">
        <v>126.4</v>
      </c>
      <c r="V47" s="55" t="n">
        <v>121.6</v>
      </c>
      <c r="W47" s="55" t="n">
        <v>121.6</v>
      </c>
      <c r="X47" t="n">
        <v>126.5</v>
      </c>
      <c r="Y47" t="n">
        <v>126.5</v>
      </c>
      <c r="Z47" t="n">
        <v>130.4</v>
      </c>
      <c r="AA47" t="n">
        <v>130.4</v>
      </c>
      <c r="AB47" t="n">
        <v>127.5</v>
      </c>
      <c r="AC47" t="n">
        <v>127.5</v>
      </c>
      <c r="AD47" t="n">
        <v>124.5</v>
      </c>
      <c r="AE47" t="n">
        <v>124.5</v>
      </c>
      <c r="AF47" t="n">
        <v>121.4</v>
      </c>
      <c r="AG47" t="n">
        <v>121.4</v>
      </c>
      <c r="AH47" t="n">
        <v>120.2</v>
      </c>
      <c r="AI47" t="n">
        <v>120.2</v>
      </c>
      <c r="AJ47" t="n">
        <v>114.5</v>
      </c>
      <c r="AK47" t="n">
        <v>114.5</v>
      </c>
      <c r="AL47" t="n">
        <v>113.6</v>
      </c>
      <c r="AM47" t="n">
        <v>113.6</v>
      </c>
      <c r="AN47" t="n">
        <v>108</v>
      </c>
      <c r="AO47" t="n">
        <v>108</v>
      </c>
      <c r="AP47" t="n">
        <v>101.2</v>
      </c>
      <c r="AQ47" t="n">
        <v>101.2</v>
      </c>
    </row>
    <row r="48">
      <c r="C48" s="55" t="inlineStr">
        <is>
          <t>Total Preferred Equity</t>
        </is>
      </c>
      <c r="D48" s="55" t="inlineStr"/>
      <c r="E48" s="55" t="inlineStr"/>
      <c r="F48" s="55" t="inlineStr"/>
      <c r="G48" s="55" t="inlineStr"/>
      <c r="H48" s="55" t="inlineStr"/>
      <c r="I48" s="55" t="inlineStr"/>
      <c r="J48" s="55" t="inlineStr"/>
      <c r="K48" s="55" t="inlineStr"/>
      <c r="L48" s="55" t="inlineStr"/>
      <c r="M48" s="55" t="inlineStr"/>
      <c r="N48" s="55" t="inlineStr"/>
      <c r="O48" s="55" t="inlineStr"/>
      <c r="P48" s="55" t="inlineStr"/>
      <c r="Q48" s="55" t="inlineStr"/>
      <c r="R48" s="55" t="inlineStr"/>
      <c r="S48" s="55" t="inlineStr"/>
      <c r="T48" s="55" t="inlineStr"/>
      <c r="U48" s="55" t="inlineStr"/>
      <c r="V48" s="55" t="inlineStr"/>
      <c r="W48" s="55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C49" s="55" t="inlineStr">
        <is>
          <t>Minority Interest, Total</t>
        </is>
      </c>
      <c r="D49" s="55" t="inlineStr"/>
      <c r="E49" s="55" t="inlineStr"/>
      <c r="F49" s="55" t="inlineStr"/>
      <c r="G49" s="55" t="inlineStr"/>
      <c r="H49" s="55" t="inlineStr"/>
      <c r="I49" s="55" t="inlineStr"/>
      <c r="J49" s="55" t="inlineStr"/>
      <c r="K49" s="55" t="inlineStr"/>
      <c r="L49" s="55" t="inlineStr"/>
      <c r="M49" s="55" t="inlineStr"/>
      <c r="N49" s="55" t="inlineStr"/>
      <c r="O49" s="55" t="inlineStr"/>
      <c r="P49" s="55" t="inlineStr"/>
      <c r="Q49" s="55" t="inlineStr"/>
      <c r="R49" s="55" t="inlineStr"/>
      <c r="S49" s="55" t="inlineStr"/>
      <c r="T49" s="55" t="inlineStr"/>
      <c r="U49" s="55" t="inlineStr"/>
      <c r="V49" s="55" t="inlineStr"/>
      <c r="W49" s="55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C50" s="55" t="inlineStr">
        <is>
          <t>Other Equity</t>
        </is>
      </c>
      <c r="D50" s="55" t="n">
        <v>0</v>
      </c>
      <c r="E50" s="55" t="n">
        <v>0</v>
      </c>
      <c r="F50" s="55" t="n">
        <v>0</v>
      </c>
      <c r="G50" s="55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55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C51" s="55" t="inlineStr">
        <is>
          <t>Total Equity</t>
        </is>
      </c>
      <c r="D51" s="55" t="n">
        <v>64.59999999999999</v>
      </c>
      <c r="E51" s="55" t="n">
        <v>64.59999999999999</v>
      </c>
      <c r="F51" s="55" t="n">
        <v>53.3</v>
      </c>
      <c r="G51" s="55" t="n">
        <v>53.3</v>
      </c>
      <c r="H51" s="55" t="n">
        <v>133.2</v>
      </c>
      <c r="I51" s="55" t="n">
        <v>133.2</v>
      </c>
      <c r="J51" s="55" t="n">
        <v>107.8</v>
      </c>
      <c r="K51" s="55" t="n">
        <v>107.8</v>
      </c>
      <c r="L51" s="55" t="n">
        <v>117.3</v>
      </c>
      <c r="M51" s="55" t="n">
        <v>117.3</v>
      </c>
      <c r="N51" s="55" t="n">
        <v>121.4</v>
      </c>
      <c r="O51" s="55" t="n">
        <v>121.4</v>
      </c>
      <c r="P51" s="55" t="n">
        <v>123.5</v>
      </c>
      <c r="Q51" s="55" t="n">
        <v>123.5</v>
      </c>
      <c r="R51" s="55" t="n">
        <v>123.7</v>
      </c>
      <c r="S51" s="55" t="n">
        <v>123.7</v>
      </c>
      <c r="T51" s="55" t="n">
        <v>126.4</v>
      </c>
      <c r="U51" s="55" t="n">
        <v>126.4</v>
      </c>
      <c r="V51" s="55" t="n">
        <v>121.6</v>
      </c>
      <c r="W51" s="55" t="n">
        <v>121.6</v>
      </c>
      <c r="X51" t="n">
        <v>126.5</v>
      </c>
      <c r="Y51" t="n">
        <v>126.5</v>
      </c>
      <c r="Z51" t="n">
        <v>130.4</v>
      </c>
      <c r="AA51" t="n">
        <v>130.4</v>
      </c>
      <c r="AB51" t="n">
        <v>127.5</v>
      </c>
      <c r="AC51" t="n">
        <v>127.5</v>
      </c>
      <c r="AD51" t="n">
        <v>124.5</v>
      </c>
      <c r="AE51" t="n">
        <v>124.5</v>
      </c>
      <c r="AF51" t="n">
        <v>121.4</v>
      </c>
      <c r="AG51" t="n">
        <v>121.4</v>
      </c>
      <c r="AH51" t="n">
        <v>120.2</v>
      </c>
      <c r="AI51" t="n">
        <v>120.2</v>
      </c>
      <c r="AJ51" t="n">
        <v>114.5</v>
      </c>
      <c r="AK51" t="n">
        <v>114.5</v>
      </c>
      <c r="AL51" t="n">
        <v>113.6</v>
      </c>
      <c r="AM51" t="n">
        <v>113.6</v>
      </c>
      <c r="AN51" t="n">
        <v>108</v>
      </c>
      <c r="AO51" t="n">
        <v>108</v>
      </c>
      <c r="AP51" t="n">
        <v>101.2</v>
      </c>
      <c r="AQ51" t="n">
        <v>101.2</v>
      </c>
    </row>
    <row r="52"/>
    <row r="53">
      <c r="C53" s="55" t="inlineStr">
        <is>
          <t>Total Liabilities And Equity</t>
        </is>
      </c>
      <c r="D53" s="55" t="n">
        <v>201.2</v>
      </c>
      <c r="E53" s="55" t="n">
        <v>201.2</v>
      </c>
      <c r="F53" s="55" t="n">
        <v>239.9</v>
      </c>
      <c r="G53" s="55" t="n">
        <v>239.9</v>
      </c>
      <c r="H53" s="55" t="n">
        <v>193.6</v>
      </c>
      <c r="I53" s="55" t="n">
        <v>193.6</v>
      </c>
      <c r="J53" s="55" t="n">
        <v>163.9</v>
      </c>
      <c r="K53" s="55" t="n">
        <v>163.9</v>
      </c>
      <c r="L53" s="55" t="n">
        <v>172.9</v>
      </c>
      <c r="M53" s="55" t="n">
        <v>172.9</v>
      </c>
      <c r="N53" s="55" t="n">
        <v>175</v>
      </c>
      <c r="O53" s="55" t="n">
        <v>175</v>
      </c>
      <c r="P53" s="55" t="n">
        <v>179.6</v>
      </c>
      <c r="Q53" s="55" t="n">
        <v>179.6</v>
      </c>
      <c r="R53" s="55" t="n">
        <v>174.2</v>
      </c>
      <c r="S53" s="55" t="n">
        <v>174.2</v>
      </c>
      <c r="T53" s="55" t="n">
        <v>162.3</v>
      </c>
      <c r="U53" s="55" t="n">
        <v>162.3</v>
      </c>
      <c r="V53" s="55" t="n">
        <v>155.1</v>
      </c>
      <c r="W53" s="55" t="n">
        <v>155.1</v>
      </c>
      <c r="X53" t="n">
        <v>162.6</v>
      </c>
      <c r="Y53" t="n">
        <v>162.6</v>
      </c>
      <c r="Z53" t="n">
        <v>166.2</v>
      </c>
      <c r="AA53" t="n">
        <v>166.2</v>
      </c>
      <c r="AB53" t="n">
        <v>162.9</v>
      </c>
      <c r="AC53" t="n">
        <v>162.9</v>
      </c>
      <c r="AD53" t="n">
        <v>163.8</v>
      </c>
      <c r="AE53" t="n">
        <v>163.8</v>
      </c>
      <c r="AF53" t="n">
        <v>165.6</v>
      </c>
      <c r="AG53" t="n">
        <v>165.6</v>
      </c>
      <c r="AH53" t="n">
        <v>164.5</v>
      </c>
      <c r="AI53" t="n">
        <v>164.5</v>
      </c>
      <c r="AJ53" t="n">
        <v>151.7</v>
      </c>
      <c r="AK53" t="n">
        <v>151.7</v>
      </c>
      <c r="AL53" t="n">
        <v>150.5</v>
      </c>
      <c r="AM53" t="n">
        <v>150.5</v>
      </c>
      <c r="AN53" t="n">
        <v>155.2</v>
      </c>
      <c r="AO53" t="n">
        <v>155.2</v>
      </c>
      <c r="AP53" t="n">
        <v>146.1</v>
      </c>
      <c r="AQ53" t="n">
        <v>146.1</v>
      </c>
    </row>
    <row r="54"/>
    <row r="55">
      <c r="C55" s="55" t="inlineStr">
        <is>
          <t>Cash And Short Term Investments</t>
        </is>
      </c>
      <c r="D55" s="55" t="n">
        <v>16</v>
      </c>
      <c r="E55" s="55" t="n">
        <v>16</v>
      </c>
      <c r="F55" s="55" t="n">
        <v>21.3</v>
      </c>
      <c r="G55" s="55" t="n">
        <v>21.3</v>
      </c>
      <c r="H55" s="55" t="n">
        <v>53.9</v>
      </c>
      <c r="I55" s="55" t="n">
        <v>53.9</v>
      </c>
      <c r="J55" s="55" t="n">
        <v>12.4</v>
      </c>
      <c r="K55" s="55" t="n">
        <v>12.4</v>
      </c>
      <c r="L55" s="55" t="n">
        <v>18.1</v>
      </c>
      <c r="M55" s="55" t="n">
        <v>18.1</v>
      </c>
      <c r="N55" s="55" t="n">
        <v>22.9</v>
      </c>
      <c r="O55" s="55" t="n">
        <v>22.9</v>
      </c>
      <c r="P55" s="55" t="n">
        <v>27.5</v>
      </c>
      <c r="Q55" s="55" t="n">
        <v>27.5</v>
      </c>
      <c r="R55" s="55" t="n">
        <v>21.6</v>
      </c>
      <c r="S55" s="55" t="n">
        <v>21.6</v>
      </c>
      <c r="T55" s="55" t="n">
        <v>19.5</v>
      </c>
      <c r="U55" s="55" t="n">
        <v>19.5</v>
      </c>
      <c r="V55" s="55" t="n">
        <v>16</v>
      </c>
      <c r="W55" s="55" t="n">
        <v>16</v>
      </c>
      <c r="X55" t="n">
        <v>19.9</v>
      </c>
      <c r="Y55" t="n">
        <v>19.9</v>
      </c>
      <c r="Z55" t="n">
        <v>18.1</v>
      </c>
      <c r="AA55" t="n">
        <v>18.1</v>
      </c>
      <c r="AB55" t="n">
        <v>31.9</v>
      </c>
      <c r="AC55" t="n">
        <v>31.9</v>
      </c>
      <c r="AD55" t="n">
        <v>29.9</v>
      </c>
      <c r="AE55" t="n">
        <v>29.9</v>
      </c>
      <c r="AF55" t="n">
        <v>28.6</v>
      </c>
      <c r="AG55" t="n">
        <v>28.6</v>
      </c>
      <c r="AH55" t="n">
        <v>26.8</v>
      </c>
      <c r="AI55" t="n">
        <v>26.8</v>
      </c>
      <c r="AJ55" t="n">
        <v>27.3</v>
      </c>
      <c r="AK55" t="n">
        <v>27.3</v>
      </c>
      <c r="AL55" t="n">
        <v>16.3</v>
      </c>
      <c r="AM55" t="n">
        <v>16.3</v>
      </c>
      <c r="AN55" t="n">
        <v>17.8</v>
      </c>
      <c r="AO55" t="n">
        <v>17.8</v>
      </c>
      <c r="AP55" t="n">
        <v>14.7</v>
      </c>
      <c r="AQ55" t="n">
        <v>14.7</v>
      </c>
    </row>
    <row r="56">
      <c r="C56" s="55" t="inlineStr">
        <is>
          <t>Total Debt</t>
        </is>
      </c>
      <c r="D56" s="55" t="n">
        <v>75.90000000000001</v>
      </c>
      <c r="E56" s="55" t="n">
        <v>75.90000000000001</v>
      </c>
      <c r="F56" s="55" t="n">
        <v>101.4</v>
      </c>
      <c r="G56" s="55" t="n">
        <v>101.4</v>
      </c>
      <c r="H56" s="55" t="n">
        <v>3.2</v>
      </c>
      <c r="I56" s="55" t="n">
        <v>3.2</v>
      </c>
      <c r="J56" s="55" t="n">
        <v>5.4</v>
      </c>
      <c r="K56" s="55" t="n">
        <v>5.4</v>
      </c>
      <c r="L56" s="55" t="n">
        <v>2.4</v>
      </c>
      <c r="M56" s="55" t="n">
        <v>2.4</v>
      </c>
      <c r="N56" s="55" t="n">
        <v>1.9</v>
      </c>
      <c r="O56" s="55" t="n">
        <v>1.9</v>
      </c>
      <c r="P56" s="55" t="n">
        <v>1.8</v>
      </c>
      <c r="Q56" s="55" t="n">
        <v>1.8</v>
      </c>
      <c r="R56" s="55" t="n">
        <v>1.7</v>
      </c>
      <c r="S56" s="55" t="n">
        <v>1.7</v>
      </c>
      <c r="T56" s="55" t="n">
        <v>1.2</v>
      </c>
      <c r="U56" s="55" t="n">
        <v>1.2</v>
      </c>
      <c r="V56" s="55" t="n">
        <v>1</v>
      </c>
      <c r="W56" s="55" t="n">
        <v>1</v>
      </c>
      <c r="X56" t="n">
        <v>0.8</v>
      </c>
      <c r="Y56" t="n">
        <v>0.8</v>
      </c>
      <c r="Z56" t="n">
        <v>0.6</v>
      </c>
      <c r="AA56" t="n">
        <v>0.6</v>
      </c>
      <c r="AB56" t="n">
        <v>0.8</v>
      </c>
      <c r="AC56" t="n">
        <v>0.8</v>
      </c>
      <c r="AD56" t="n">
        <v>0.7</v>
      </c>
      <c r="AE56" t="n">
        <v>0.7</v>
      </c>
      <c r="AF56" t="n">
        <v>0.4</v>
      </c>
      <c r="AG56" t="n">
        <v>0.4</v>
      </c>
      <c r="AH56" t="n">
        <v>0.9</v>
      </c>
      <c r="AI56" t="n">
        <v>0.9</v>
      </c>
      <c r="AJ56" t="n">
        <v>1.4</v>
      </c>
      <c r="AK56" t="n">
        <v>1.4</v>
      </c>
      <c r="AL56" t="n">
        <v>2.5</v>
      </c>
      <c r="AM56" t="n">
        <v>2.5</v>
      </c>
      <c r="AN56" t="n">
        <v>11.4</v>
      </c>
      <c r="AO56" t="n">
        <v>11.4</v>
      </c>
      <c r="AP56" t="n">
        <v>6.7</v>
      </c>
      <c r="AQ56" t="n">
        <v>6.7</v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C2:E2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Xander</dc:creator>
  <dcterms:created xmlns:dcterms="http://purl.org/dc/terms/" xmlns:xsi="http://www.w3.org/2001/XMLSchema-instance" xsi:type="dcterms:W3CDTF">2023-08-22T04:43:58Z</dcterms:created>
  <dcterms:modified xmlns:dcterms="http://purl.org/dc/terms/" xmlns:xsi="http://www.w3.org/2001/XMLSchema-instance" xsi:type="dcterms:W3CDTF">2026-01-27T03:17:22Z</dcterms:modified>
  <cp:lastModifiedBy>Xander Snyder</cp:lastModifiedBy>
</cp:coreProperties>
</file>