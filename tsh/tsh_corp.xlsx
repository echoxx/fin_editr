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Investing\Stocks\netnets\fin_editr\tsh\"/>
    </mc:Choice>
  </mc:AlternateContent>
  <xr:revisionPtr revIDLastSave="0" documentId="13_ncr:1_{74697080-2B48-4E3F-9B2E-723621DCC1D6}" xr6:coauthVersionLast="47" xr6:coauthVersionMax="47" xr10:uidLastSave="{00000000-0000-0000-0000-000000000000}"/>
  <bookViews>
    <workbookView xWindow="31344" yWindow="624" windowWidth="27264" windowHeight="14628" tabRatio="626" activeTab="4" xr2:uid="{00000000-000D-0000-FFFF-FFFF00000000}"/>
  </bookViews>
  <sheets>
    <sheet name="Overview" sheetId="1" r:id="rId1"/>
    <sheet name="ncav" sheetId="2" r:id="rId2"/>
    <sheet name="profitability" sheetId="3" r:id="rId3"/>
    <sheet name="piotrosky" sheetId="4" r:id="rId4"/>
    <sheet name="C7" sheetId="5" r:id="rId5"/>
    <sheet name="ro" sheetId="6" r:id="rId6"/>
    <sheet name="ownership" sheetId="7" r:id="rId7"/>
    <sheet name="tsh_IS" sheetId="8" r:id="rId8"/>
    <sheet name="tsh_bs" sheetId="9" r:id="rId9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S11" i="3" s="1"/>
  <c r="T10" i="3"/>
  <c r="U10" i="3"/>
  <c r="V10" i="3"/>
  <c r="V11" i="3" s="1"/>
  <c r="W10" i="3"/>
  <c r="X10" i="3"/>
  <c r="Y10" i="3"/>
  <c r="Z10" i="3"/>
  <c r="AA10" i="3"/>
  <c r="AA11" i="3" s="1"/>
  <c r="AB10" i="3"/>
  <c r="AC10" i="3"/>
  <c r="AD10" i="3"/>
  <c r="AE10" i="3"/>
  <c r="AE11" i="3" s="1"/>
  <c r="AF10" i="3"/>
  <c r="AG10" i="3"/>
  <c r="AH10" i="3"/>
  <c r="AI10" i="3"/>
  <c r="AJ10" i="3"/>
  <c r="C10" i="3"/>
  <c r="D6" i="3"/>
  <c r="E6" i="3"/>
  <c r="F6" i="3"/>
  <c r="G6" i="3"/>
  <c r="H6" i="3"/>
  <c r="I6" i="3"/>
  <c r="J6" i="3"/>
  <c r="K6" i="3"/>
  <c r="L6" i="3"/>
  <c r="M6" i="3"/>
  <c r="M7" i="3" s="1"/>
  <c r="N6" i="3"/>
  <c r="N7" i="3" s="1"/>
  <c r="O6" i="3"/>
  <c r="P6" i="3"/>
  <c r="Q6" i="3"/>
  <c r="R6" i="3"/>
  <c r="S6" i="3"/>
  <c r="T6" i="3"/>
  <c r="U6" i="3"/>
  <c r="U7" i="3" s="1"/>
  <c r="V6" i="3"/>
  <c r="W6" i="3"/>
  <c r="X6" i="3"/>
  <c r="Y6" i="3"/>
  <c r="Z6" i="3"/>
  <c r="Z7" i="3" s="1"/>
  <c r="AA6" i="3"/>
  <c r="AB6" i="3"/>
  <c r="AC6" i="3"/>
  <c r="AD6" i="3"/>
  <c r="AE6" i="3"/>
  <c r="AF6" i="3"/>
  <c r="AG6" i="3"/>
  <c r="AH6" i="3"/>
  <c r="AI6" i="3"/>
  <c r="AJ6" i="3"/>
  <c r="D2" i="3"/>
  <c r="D3" i="3" s="1"/>
  <c r="E2" i="3"/>
  <c r="E3" i="3" s="1"/>
  <c r="F2" i="3"/>
  <c r="G2" i="3"/>
  <c r="H2" i="3"/>
  <c r="I2" i="3"/>
  <c r="I3" i="3" s="1"/>
  <c r="J2" i="3"/>
  <c r="J3" i="3" s="1"/>
  <c r="K2" i="3"/>
  <c r="L2" i="3"/>
  <c r="L4" i="3" s="1"/>
  <c r="M2" i="3"/>
  <c r="N2" i="3"/>
  <c r="N11" i="3" s="1"/>
  <c r="O2" i="3"/>
  <c r="P2" i="3"/>
  <c r="T4" i="3" s="1"/>
  <c r="Q2" i="3"/>
  <c r="R2" i="3"/>
  <c r="S2" i="3"/>
  <c r="S3" i="3" s="1"/>
  <c r="T2" i="3"/>
  <c r="U2" i="3"/>
  <c r="V2" i="3"/>
  <c r="V4" i="3" s="1"/>
  <c r="W2" i="3"/>
  <c r="W3" i="3" s="1"/>
  <c r="X2" i="3"/>
  <c r="X3" i="3" s="1"/>
  <c r="Y2" i="3"/>
  <c r="Z2" i="3"/>
  <c r="AA2" i="3"/>
  <c r="AB2" i="3"/>
  <c r="AC2" i="3"/>
  <c r="AD2" i="3"/>
  <c r="AE2" i="3"/>
  <c r="AE3" i="3" s="1"/>
  <c r="AF2" i="3"/>
  <c r="AG2" i="3"/>
  <c r="AG7" i="3" s="1"/>
  <c r="AH2" i="3"/>
  <c r="AI2" i="3"/>
  <c r="AI7" i="3" s="1"/>
  <c r="AJ2" i="3"/>
  <c r="AJ7" i="3" s="1"/>
  <c r="AG30" i="6"/>
  <c r="AE30" i="6"/>
  <c r="I30" i="6"/>
  <c r="G30" i="6"/>
  <c r="O28" i="6"/>
  <c r="M28" i="6"/>
  <c r="U27" i="6"/>
  <c r="M17" i="6"/>
  <c r="M24" i="6" s="1"/>
  <c r="V16" i="6"/>
  <c r="V23" i="6" s="1"/>
  <c r="I14" i="6"/>
  <c r="I21" i="6" s="1"/>
  <c r="AJ10" i="6"/>
  <c r="AI10" i="6"/>
  <c r="AH10" i="6"/>
  <c r="AG10" i="6"/>
  <c r="AF10" i="6"/>
  <c r="AG31" i="6" s="1"/>
  <c r="AE10" i="6"/>
  <c r="AD10" i="6"/>
  <c r="AC10" i="6"/>
  <c r="AB10" i="6"/>
  <c r="AA10" i="6"/>
  <c r="Z10" i="6"/>
  <c r="Y10" i="6"/>
  <c r="X10" i="6"/>
  <c r="Y31" i="6" s="1"/>
  <c r="W10" i="6"/>
  <c r="V10" i="6"/>
  <c r="U10" i="6"/>
  <c r="T10" i="6"/>
  <c r="U31" i="6" s="1"/>
  <c r="S10" i="6"/>
  <c r="R10" i="6"/>
  <c r="Q10" i="6"/>
  <c r="P10" i="6"/>
  <c r="O10" i="6"/>
  <c r="N10" i="6"/>
  <c r="M10" i="6"/>
  <c r="L10" i="6"/>
  <c r="L28" i="6" s="1"/>
  <c r="K10" i="6"/>
  <c r="J10" i="6"/>
  <c r="I10" i="6"/>
  <c r="H10" i="6"/>
  <c r="I31" i="6" s="1"/>
  <c r="G10" i="6"/>
  <c r="F10" i="6"/>
  <c r="E10" i="6"/>
  <c r="D10" i="6"/>
  <c r="C10" i="6"/>
  <c r="AJ9" i="6"/>
  <c r="AI9" i="6"/>
  <c r="AJ30" i="6" s="1"/>
  <c r="AH9" i="6"/>
  <c r="AG9" i="6"/>
  <c r="AF9" i="6"/>
  <c r="AE9" i="6"/>
  <c r="AD9" i="6"/>
  <c r="AC9" i="6"/>
  <c r="AB9" i="6"/>
  <c r="AA9" i="6"/>
  <c r="Z9" i="6"/>
  <c r="Y9" i="6"/>
  <c r="X9" i="6"/>
  <c r="Y27" i="6" s="1"/>
  <c r="W9" i="6"/>
  <c r="X27" i="6" s="1"/>
  <c r="V9" i="6"/>
  <c r="W30" i="6" s="1"/>
  <c r="U9" i="6"/>
  <c r="T9" i="6"/>
  <c r="S9" i="6"/>
  <c r="R9" i="6"/>
  <c r="R16" i="6" s="1"/>
  <c r="R23" i="6" s="1"/>
  <c r="Q9" i="6"/>
  <c r="P9" i="6"/>
  <c r="O9" i="6"/>
  <c r="N9" i="6"/>
  <c r="N16" i="6" s="1"/>
  <c r="N23" i="6" s="1"/>
  <c r="M9" i="6"/>
  <c r="L9" i="6"/>
  <c r="M30" i="6" s="1"/>
  <c r="K9" i="6"/>
  <c r="L30" i="6" s="1"/>
  <c r="J9" i="6"/>
  <c r="J13" i="6" s="1"/>
  <c r="J20" i="6" s="1"/>
  <c r="I9" i="6"/>
  <c r="H9" i="6"/>
  <c r="G9" i="6"/>
  <c r="F9" i="6"/>
  <c r="F16" i="6" s="1"/>
  <c r="F23" i="6" s="1"/>
  <c r="E9" i="6"/>
  <c r="D9" i="6"/>
  <c r="C9" i="6"/>
  <c r="AJ8" i="6"/>
  <c r="AI8" i="6"/>
  <c r="AH8" i="6"/>
  <c r="AG8" i="6"/>
  <c r="AF8" i="6"/>
  <c r="AE8" i="6"/>
  <c r="AD8" i="6"/>
  <c r="AC8" i="6"/>
  <c r="AB8" i="6"/>
  <c r="AB33" i="6" s="1"/>
  <c r="AA8" i="6"/>
  <c r="Z8" i="6"/>
  <c r="Y8" i="6"/>
  <c r="X8" i="6"/>
  <c r="W8" i="6"/>
  <c r="V8" i="6"/>
  <c r="U8" i="6"/>
  <c r="T8" i="6"/>
  <c r="S8" i="6"/>
  <c r="R8" i="6"/>
  <c r="Q8" i="6"/>
  <c r="P8" i="6"/>
  <c r="O8" i="6"/>
  <c r="O33" i="6" s="1"/>
  <c r="N8" i="6"/>
  <c r="M8" i="6"/>
  <c r="L8" i="6"/>
  <c r="K8" i="6"/>
  <c r="J8" i="6"/>
  <c r="I8" i="6"/>
  <c r="H8" i="6"/>
  <c r="G8" i="6"/>
  <c r="F8" i="6"/>
  <c r="E8" i="6"/>
  <c r="D8" i="6"/>
  <c r="C8" i="6"/>
  <c r="W6" i="6"/>
  <c r="V6" i="6"/>
  <c r="N6" i="6"/>
  <c r="M6" i="6"/>
  <c r="I6" i="6"/>
  <c r="I16" i="6" s="1"/>
  <c r="I23" i="6" s="1"/>
  <c r="H6" i="6"/>
  <c r="H16" i="6" s="1"/>
  <c r="H23" i="6" s="1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AG6" i="6" s="1"/>
  <c r="AG16" i="6" s="1"/>
  <c r="AG23" i="6" s="1"/>
  <c r="U5" i="6"/>
  <c r="AA6" i="6" s="1"/>
  <c r="AA17" i="6" s="1"/>
  <c r="AA24" i="6" s="1"/>
  <c r="T5" i="6"/>
  <c r="U6" i="6" s="1"/>
  <c r="U16" i="6" s="1"/>
  <c r="U23" i="6" s="1"/>
  <c r="S5" i="6"/>
  <c r="T6" i="6" s="1"/>
  <c r="T16" i="6" s="1"/>
  <c r="T23" i="6" s="1"/>
  <c r="R5" i="6"/>
  <c r="Q5" i="6"/>
  <c r="R6" i="6" s="1"/>
  <c r="P5" i="6"/>
  <c r="Q6" i="6" s="1"/>
  <c r="Q17" i="6" s="1"/>
  <c r="Q24" i="6" s="1"/>
  <c r="O5" i="6"/>
  <c r="N5" i="6"/>
  <c r="M5" i="6"/>
  <c r="L5" i="6"/>
  <c r="K5" i="6"/>
  <c r="L6" i="6" s="1"/>
  <c r="J5" i="6"/>
  <c r="K6" i="6" s="1"/>
  <c r="I5" i="6"/>
  <c r="H5" i="6"/>
  <c r="G5" i="6"/>
  <c r="G6" i="6" s="1"/>
  <c r="F5" i="6"/>
  <c r="E5" i="6"/>
  <c r="F6" i="6" s="1"/>
  <c r="D5" i="6"/>
  <c r="E6" i="6" s="1"/>
  <c r="C5" i="6"/>
  <c r="V3" i="6"/>
  <c r="U3" i="6"/>
  <c r="U13" i="6" s="1"/>
  <c r="U20" i="6" s="1"/>
  <c r="N3" i="6"/>
  <c r="I3" i="6"/>
  <c r="I13" i="6" s="1"/>
  <c r="I20" i="6" s="1"/>
  <c r="H3" i="6"/>
  <c r="G3" i="6"/>
  <c r="AJ2" i="6"/>
  <c r="AI2" i="6"/>
  <c r="AH2" i="6"/>
  <c r="AG2" i="6"/>
  <c r="AF2" i="6"/>
  <c r="AE2" i="6"/>
  <c r="AG27" i="6" s="1"/>
  <c r="AD2" i="6"/>
  <c r="AC2" i="6"/>
  <c r="AB2" i="6"/>
  <c r="AB3" i="6" s="1"/>
  <c r="AA2" i="6"/>
  <c r="Z2" i="6"/>
  <c r="Y2" i="6"/>
  <c r="AA28" i="6" s="1"/>
  <c r="X2" i="6"/>
  <c r="W2" i="6"/>
  <c r="AE3" i="6" s="1"/>
  <c r="V2" i="6"/>
  <c r="U2" i="6"/>
  <c r="T2" i="6"/>
  <c r="S2" i="6"/>
  <c r="T3" i="6" s="1"/>
  <c r="R2" i="6"/>
  <c r="S3" i="6" s="1"/>
  <c r="Q2" i="6"/>
  <c r="R3" i="6" s="1"/>
  <c r="R14" i="6" s="1"/>
  <c r="R21" i="6" s="1"/>
  <c r="P2" i="6"/>
  <c r="O2" i="6"/>
  <c r="N2" i="6"/>
  <c r="O3" i="6" s="1"/>
  <c r="M2" i="6"/>
  <c r="L2" i="6"/>
  <c r="M3" i="6" s="1"/>
  <c r="K2" i="6"/>
  <c r="L3" i="6" s="1"/>
  <c r="J2" i="6"/>
  <c r="J3" i="6" s="1"/>
  <c r="I2" i="6"/>
  <c r="H2" i="6"/>
  <c r="G2" i="6"/>
  <c r="I27" i="6" s="1"/>
  <c r="F2" i="6"/>
  <c r="E2" i="6"/>
  <c r="F3" i="6" s="1"/>
  <c r="F13" i="6" s="1"/>
  <c r="F20" i="6" s="1"/>
  <c r="D2" i="6"/>
  <c r="C2" i="6"/>
  <c r="H23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I11" i="5"/>
  <c r="H11" i="5"/>
  <c r="K10" i="4"/>
  <c r="A3" i="4"/>
  <c r="A4" i="4" s="1"/>
  <c r="A5" i="4" s="1"/>
  <c r="A6" i="4" s="1"/>
  <c r="A7" i="4" s="1"/>
  <c r="A8" i="4" s="1"/>
  <c r="A9" i="4" s="1"/>
  <c r="A2" i="4"/>
  <c r="AB11" i="3"/>
  <c r="M11" i="3"/>
  <c r="M1" i="4"/>
  <c r="AH11" i="3"/>
  <c r="J11" i="3"/>
  <c r="C11" i="3"/>
  <c r="C8" i="3"/>
  <c r="AA7" i="3"/>
  <c r="O7" i="3"/>
  <c r="I7" i="3"/>
  <c r="H7" i="3"/>
  <c r="C7" i="3"/>
  <c r="AH7" i="3"/>
  <c r="AF7" i="3"/>
  <c r="AB7" i="3"/>
  <c r="Y7" i="3"/>
  <c r="T7" i="3"/>
  <c r="P7" i="3"/>
  <c r="D7" i="3"/>
  <c r="C6" i="3"/>
  <c r="AG3" i="3"/>
  <c r="Z3" i="3"/>
  <c r="Y3" i="3"/>
  <c r="O3" i="3"/>
  <c r="L3" i="3"/>
  <c r="K3" i="3"/>
  <c r="V3" i="3"/>
  <c r="T3" i="3"/>
  <c r="M4" i="3"/>
  <c r="H11" i="3"/>
  <c r="C2" i="3"/>
  <c r="AD54" i="2"/>
  <c r="AB53" i="2"/>
  <c r="Y53" i="2"/>
  <c r="S52" i="2"/>
  <c r="AI26" i="2"/>
  <c r="AK23" i="2"/>
  <c r="AK34" i="2" s="1"/>
  <c r="T23" i="2"/>
  <c r="T34" i="2" s="1"/>
  <c r="F23" i="2"/>
  <c r="F34" i="2" s="1"/>
  <c r="N22" i="2"/>
  <c r="N41" i="2" s="1"/>
  <c r="AK20" i="2"/>
  <c r="J9" i="5" s="1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AK15" i="2"/>
  <c r="AK53" i="2" s="1"/>
  <c r="J4" i="5" s="1"/>
  <c r="AJ15" i="2"/>
  <c r="AJ52" i="2" s="1"/>
  <c r="AI15" i="2"/>
  <c r="AI53" i="2" s="1"/>
  <c r="AH15" i="2"/>
  <c r="AG15" i="2"/>
  <c r="AF15" i="2"/>
  <c r="AE15" i="2"/>
  <c r="AD15" i="2"/>
  <c r="AD53" i="2" s="1"/>
  <c r="AC15" i="2"/>
  <c r="AB15" i="2"/>
  <c r="AA15" i="2"/>
  <c r="Z15" i="2"/>
  <c r="Y15" i="2"/>
  <c r="X15" i="2"/>
  <c r="W15" i="2"/>
  <c r="W53" i="2" s="1"/>
  <c r="V15" i="2"/>
  <c r="U15" i="2"/>
  <c r="T15" i="2"/>
  <c r="S15" i="2"/>
  <c r="R15" i="2"/>
  <c r="R53" i="2" s="1"/>
  <c r="Q15" i="2"/>
  <c r="Q53" i="2" s="1"/>
  <c r="P15" i="2"/>
  <c r="O15" i="2"/>
  <c r="O53" i="2" s="1"/>
  <c r="N15" i="2"/>
  <c r="M15" i="2"/>
  <c r="L15" i="2"/>
  <c r="K15" i="2"/>
  <c r="J15" i="2"/>
  <c r="I15" i="2"/>
  <c r="I52" i="2" s="1"/>
  <c r="H15" i="2"/>
  <c r="G15" i="2"/>
  <c r="F15" i="2"/>
  <c r="F53" i="2" s="1"/>
  <c r="E15" i="2"/>
  <c r="E53" i="2" s="1"/>
  <c r="D15" i="2"/>
  <c r="AK13" i="2"/>
  <c r="AJ13" i="2"/>
  <c r="AI13" i="2"/>
  <c r="AI54" i="2" s="1"/>
  <c r="AH13" i="2"/>
  <c r="AH54" i="2" s="1"/>
  <c r="AG13" i="2"/>
  <c r="AG54" i="2" s="1"/>
  <c r="AF13" i="2"/>
  <c r="AF54" i="2" s="1"/>
  <c r="AE13" i="2"/>
  <c r="AD13" i="2"/>
  <c r="AC13" i="2"/>
  <c r="AC54" i="2" s="1"/>
  <c r="AB13" i="2"/>
  <c r="AB54" i="2" s="1"/>
  <c r="AA13" i="2"/>
  <c r="AA54" i="2" s="1"/>
  <c r="Z13" i="2"/>
  <c r="Y13" i="2"/>
  <c r="X13" i="2"/>
  <c r="W13" i="2"/>
  <c r="W54" i="2" s="1"/>
  <c r="V13" i="2"/>
  <c r="V54" i="2" s="1"/>
  <c r="U13" i="2"/>
  <c r="U54" i="2" s="1"/>
  <c r="T13" i="2"/>
  <c r="T54" i="2" s="1"/>
  <c r="S13" i="2"/>
  <c r="R13" i="2"/>
  <c r="R54" i="2" s="1"/>
  <c r="Q13" i="2"/>
  <c r="Q54" i="2" s="1"/>
  <c r="P13" i="2"/>
  <c r="P54" i="2" s="1"/>
  <c r="O13" i="2"/>
  <c r="O54" i="2" s="1"/>
  <c r="N13" i="2"/>
  <c r="M13" i="2"/>
  <c r="L13" i="2"/>
  <c r="K13" i="2"/>
  <c r="K54" i="2" s="1"/>
  <c r="J13" i="2"/>
  <c r="J54" i="2" s="1"/>
  <c r="I13" i="2"/>
  <c r="I54" i="2" s="1"/>
  <c r="H13" i="2"/>
  <c r="H54" i="2" s="1"/>
  <c r="G13" i="2"/>
  <c r="G54" i="2" s="1"/>
  <c r="F13" i="2"/>
  <c r="F54" i="2" s="1"/>
  <c r="E13" i="2"/>
  <c r="E54" i="2" s="1"/>
  <c r="D13" i="2"/>
  <c r="D54" i="2" s="1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AK9" i="2"/>
  <c r="AK18" i="2" s="1"/>
  <c r="AK29" i="2" s="1"/>
  <c r="AJ9" i="2"/>
  <c r="AJ18" i="2" s="1"/>
  <c r="AJ29" i="2" s="1"/>
  <c r="AI9" i="2"/>
  <c r="AI18" i="2" s="1"/>
  <c r="AI29" i="2" s="1"/>
  <c r="AH9" i="2"/>
  <c r="AH18" i="2" s="1"/>
  <c r="AH29" i="2" s="1"/>
  <c r="AG9" i="2"/>
  <c r="AG18" i="2" s="1"/>
  <c r="AG29" i="2" s="1"/>
  <c r="AF9" i="2"/>
  <c r="AF18" i="2" s="1"/>
  <c r="AF29" i="2" s="1"/>
  <c r="AE9" i="2"/>
  <c r="AE18" i="2" s="1"/>
  <c r="AE29" i="2" s="1"/>
  <c r="AD9" i="2"/>
  <c r="AD18" i="2" s="1"/>
  <c r="AD29" i="2" s="1"/>
  <c r="AC9" i="2"/>
  <c r="AC18" i="2" s="1"/>
  <c r="AC29" i="2" s="1"/>
  <c r="AB9" i="2"/>
  <c r="AB18" i="2" s="1"/>
  <c r="AB29" i="2" s="1"/>
  <c r="AA9" i="2"/>
  <c r="AA18" i="2" s="1"/>
  <c r="AA29" i="2" s="1"/>
  <c r="Z9" i="2"/>
  <c r="Z18" i="2" s="1"/>
  <c r="Z29" i="2" s="1"/>
  <c r="Y9" i="2"/>
  <c r="Y18" i="2" s="1"/>
  <c r="Y29" i="2" s="1"/>
  <c r="X9" i="2"/>
  <c r="X18" i="2" s="1"/>
  <c r="X29" i="2" s="1"/>
  <c r="W9" i="2"/>
  <c r="W18" i="2" s="1"/>
  <c r="W29" i="2" s="1"/>
  <c r="V9" i="2"/>
  <c r="V18" i="2" s="1"/>
  <c r="V29" i="2" s="1"/>
  <c r="U9" i="2"/>
  <c r="U18" i="2" s="1"/>
  <c r="U29" i="2" s="1"/>
  <c r="T9" i="2"/>
  <c r="T18" i="2" s="1"/>
  <c r="T29" i="2" s="1"/>
  <c r="S9" i="2"/>
  <c r="S18" i="2" s="1"/>
  <c r="S29" i="2" s="1"/>
  <c r="R9" i="2"/>
  <c r="R18" i="2" s="1"/>
  <c r="R29" i="2" s="1"/>
  <c r="Q9" i="2"/>
  <c r="Q18" i="2" s="1"/>
  <c r="Q29" i="2" s="1"/>
  <c r="P9" i="2"/>
  <c r="P18" i="2" s="1"/>
  <c r="P29" i="2" s="1"/>
  <c r="O9" i="2"/>
  <c r="O18" i="2" s="1"/>
  <c r="O29" i="2" s="1"/>
  <c r="N9" i="2"/>
  <c r="N18" i="2" s="1"/>
  <c r="N29" i="2" s="1"/>
  <c r="M9" i="2"/>
  <c r="M18" i="2" s="1"/>
  <c r="M29" i="2" s="1"/>
  <c r="L9" i="2"/>
  <c r="L18" i="2" s="1"/>
  <c r="L29" i="2" s="1"/>
  <c r="K9" i="2"/>
  <c r="K18" i="2" s="1"/>
  <c r="K29" i="2" s="1"/>
  <c r="J9" i="2"/>
  <c r="J18" i="2" s="1"/>
  <c r="J29" i="2" s="1"/>
  <c r="I9" i="2"/>
  <c r="I18" i="2" s="1"/>
  <c r="I29" i="2" s="1"/>
  <c r="H9" i="2"/>
  <c r="H18" i="2" s="1"/>
  <c r="H29" i="2" s="1"/>
  <c r="G9" i="2"/>
  <c r="G18" i="2" s="1"/>
  <c r="G29" i="2" s="1"/>
  <c r="F9" i="2"/>
  <c r="F18" i="2" s="1"/>
  <c r="F29" i="2" s="1"/>
  <c r="E9" i="2"/>
  <c r="E18" i="2" s="1"/>
  <c r="E29" i="2" s="1"/>
  <c r="E30" i="2" s="1"/>
  <c r="D9" i="2"/>
  <c r="D18" i="2" s="1"/>
  <c r="D29" i="2" s="1"/>
  <c r="AE6" i="2"/>
  <c r="AE24" i="2" s="1"/>
  <c r="AE38" i="2" s="1"/>
  <c r="S6" i="2"/>
  <c r="S24" i="2" s="1"/>
  <c r="S38" i="2" s="1"/>
  <c r="G6" i="2"/>
  <c r="G24" i="2" s="1"/>
  <c r="G38" i="2" s="1"/>
  <c r="AK5" i="2"/>
  <c r="AJ5" i="2"/>
  <c r="AJ26" i="2" s="1"/>
  <c r="AI5" i="2"/>
  <c r="AI23" i="2" s="1"/>
  <c r="AH5" i="2"/>
  <c r="AH26" i="2" s="1"/>
  <c r="AG5" i="2"/>
  <c r="AF5" i="2"/>
  <c r="AF26" i="2" s="1"/>
  <c r="AE5" i="2"/>
  <c r="AE26" i="2" s="1"/>
  <c r="AD5" i="2"/>
  <c r="AD26" i="2" s="1"/>
  <c r="AC5" i="2"/>
  <c r="AC26" i="2" s="1"/>
  <c r="AB5" i="2"/>
  <c r="AB26" i="2" s="1"/>
  <c r="AA5" i="2"/>
  <c r="Z5" i="2"/>
  <c r="Z23" i="2" s="1"/>
  <c r="Z34" i="2" s="1"/>
  <c r="Y5" i="2"/>
  <c r="Y23" i="2" s="1"/>
  <c r="Y34" i="2" s="1"/>
  <c r="X5" i="2"/>
  <c r="X26" i="2" s="1"/>
  <c r="W5" i="2"/>
  <c r="W23" i="2" s="1"/>
  <c r="V5" i="2"/>
  <c r="V26" i="2" s="1"/>
  <c r="U5" i="2"/>
  <c r="U26" i="2" s="1"/>
  <c r="T5" i="2"/>
  <c r="T26" i="2" s="1"/>
  <c r="S5" i="2"/>
  <c r="S26" i="2" s="1"/>
  <c r="V27" i="2" s="1"/>
  <c r="R5" i="2"/>
  <c r="R23" i="2" s="1"/>
  <c r="R34" i="2" s="1"/>
  <c r="Q5" i="2"/>
  <c r="Q23" i="2" s="1"/>
  <c r="Q34" i="2" s="1"/>
  <c r="P5" i="2"/>
  <c r="P26" i="2" s="1"/>
  <c r="O5" i="2"/>
  <c r="N5" i="2"/>
  <c r="N26" i="2" s="1"/>
  <c r="M5" i="2"/>
  <c r="M23" i="2" s="1"/>
  <c r="M34" i="2" s="1"/>
  <c r="L5" i="2"/>
  <c r="L26" i="2" s="1"/>
  <c r="K5" i="2"/>
  <c r="K23" i="2" s="1"/>
  <c r="J5" i="2"/>
  <c r="J26" i="2" s="1"/>
  <c r="I5" i="2"/>
  <c r="I26" i="2" s="1"/>
  <c r="H5" i="2"/>
  <c r="H26" i="2" s="1"/>
  <c r="G5" i="2"/>
  <c r="G26" i="2" s="1"/>
  <c r="J27" i="2" s="1"/>
  <c r="F5" i="2"/>
  <c r="F26" i="2" s="1"/>
  <c r="I27" i="2" s="1"/>
  <c r="E5" i="2"/>
  <c r="E23" i="2" s="1"/>
  <c r="E34" i="2" s="1"/>
  <c r="E35" i="2" s="1"/>
  <c r="D5" i="2"/>
  <c r="D23" i="2" s="1"/>
  <c r="D34" i="2" s="1"/>
  <c r="AK4" i="2"/>
  <c r="AJ4" i="2"/>
  <c r="AI4" i="2"/>
  <c r="AI6" i="2" s="1"/>
  <c r="AI24" i="2" s="1"/>
  <c r="AI38" i="2" s="1"/>
  <c r="AH4" i="2"/>
  <c r="AG4" i="2"/>
  <c r="AG6" i="2" s="1"/>
  <c r="AG24" i="2" s="1"/>
  <c r="AG38" i="2" s="1"/>
  <c r="AF4" i="2"/>
  <c r="AE4" i="2"/>
  <c r="AD4" i="2"/>
  <c r="AC4" i="2"/>
  <c r="AB4" i="2"/>
  <c r="AA4" i="2"/>
  <c r="Z4" i="2"/>
  <c r="Y4" i="2"/>
  <c r="X4" i="2"/>
  <c r="W4" i="2"/>
  <c r="W6" i="2" s="1"/>
  <c r="W24" i="2" s="1"/>
  <c r="W38" i="2" s="1"/>
  <c r="V4" i="2"/>
  <c r="U4" i="2"/>
  <c r="U6" i="2" s="1"/>
  <c r="U24" i="2" s="1"/>
  <c r="U38" i="2" s="1"/>
  <c r="T4" i="2"/>
  <c r="S4" i="2"/>
  <c r="R4" i="2"/>
  <c r="Q4" i="2"/>
  <c r="P4" i="2"/>
  <c r="O4" i="2"/>
  <c r="N4" i="2"/>
  <c r="M4" i="2"/>
  <c r="L4" i="2"/>
  <c r="K4" i="2"/>
  <c r="K6" i="2" s="1"/>
  <c r="K24" i="2" s="1"/>
  <c r="K38" i="2" s="1"/>
  <c r="J4" i="2"/>
  <c r="I4" i="2"/>
  <c r="I6" i="2" s="1"/>
  <c r="I24" i="2" s="1"/>
  <c r="I38" i="2" s="1"/>
  <c r="H4" i="2"/>
  <c r="G4" i="2"/>
  <c r="F4" i="2"/>
  <c r="E4" i="2"/>
  <c r="D4" i="2"/>
  <c r="AK3" i="2"/>
  <c r="AK6" i="2" s="1"/>
  <c r="AK24" i="2" s="1"/>
  <c r="AK38" i="2" s="1"/>
  <c r="AK47" i="2" s="1"/>
  <c r="AJ3" i="2"/>
  <c r="AI3" i="2"/>
  <c r="AH3" i="2"/>
  <c r="AH6" i="2" s="1"/>
  <c r="AH24" i="2" s="1"/>
  <c r="AH38" i="2" s="1"/>
  <c r="AG3" i="2"/>
  <c r="AF3" i="2"/>
  <c r="AF6" i="2" s="1"/>
  <c r="AF24" i="2" s="1"/>
  <c r="AF38" i="2" s="1"/>
  <c r="AE3" i="2"/>
  <c r="AD3" i="2"/>
  <c r="AD6" i="2" s="1"/>
  <c r="AD24" i="2" s="1"/>
  <c r="AD38" i="2" s="1"/>
  <c r="AC3" i="2"/>
  <c r="AC6" i="2" s="1"/>
  <c r="AC24" i="2" s="1"/>
  <c r="AC38" i="2" s="1"/>
  <c r="AB3" i="2"/>
  <c r="AB6" i="2" s="1"/>
  <c r="AB24" i="2" s="1"/>
  <c r="AB38" i="2" s="1"/>
  <c r="AA3" i="2"/>
  <c r="AA6" i="2" s="1"/>
  <c r="AA24" i="2" s="1"/>
  <c r="AA38" i="2" s="1"/>
  <c r="Z3" i="2"/>
  <c r="Z6" i="2" s="1"/>
  <c r="Z24" i="2" s="1"/>
  <c r="Z38" i="2" s="1"/>
  <c r="Y3" i="2"/>
  <c r="Y6" i="2" s="1"/>
  <c r="Y24" i="2" s="1"/>
  <c r="Y38" i="2" s="1"/>
  <c r="X3" i="2"/>
  <c r="W3" i="2"/>
  <c r="V3" i="2"/>
  <c r="V6" i="2" s="1"/>
  <c r="V24" i="2" s="1"/>
  <c r="V38" i="2" s="1"/>
  <c r="U3" i="2"/>
  <c r="T3" i="2"/>
  <c r="T6" i="2" s="1"/>
  <c r="T24" i="2" s="1"/>
  <c r="T38" i="2" s="1"/>
  <c r="S3" i="2"/>
  <c r="R3" i="2"/>
  <c r="R6" i="2" s="1"/>
  <c r="R24" i="2" s="1"/>
  <c r="R38" i="2" s="1"/>
  <c r="Q3" i="2"/>
  <c r="Q6" i="2" s="1"/>
  <c r="Q24" i="2" s="1"/>
  <c r="Q38" i="2" s="1"/>
  <c r="P3" i="2"/>
  <c r="P6" i="2" s="1"/>
  <c r="P24" i="2" s="1"/>
  <c r="P38" i="2" s="1"/>
  <c r="O3" i="2"/>
  <c r="O6" i="2" s="1"/>
  <c r="O24" i="2" s="1"/>
  <c r="O38" i="2" s="1"/>
  <c r="N3" i="2"/>
  <c r="N6" i="2" s="1"/>
  <c r="N24" i="2" s="1"/>
  <c r="N38" i="2" s="1"/>
  <c r="M3" i="2"/>
  <c r="M6" i="2" s="1"/>
  <c r="M24" i="2" s="1"/>
  <c r="M38" i="2" s="1"/>
  <c r="L3" i="2"/>
  <c r="K3" i="2"/>
  <c r="J3" i="2"/>
  <c r="J6" i="2" s="1"/>
  <c r="J24" i="2" s="1"/>
  <c r="J38" i="2" s="1"/>
  <c r="I3" i="2"/>
  <c r="H3" i="2"/>
  <c r="H6" i="2" s="1"/>
  <c r="H24" i="2" s="1"/>
  <c r="H38" i="2" s="1"/>
  <c r="G3" i="2"/>
  <c r="F3" i="2"/>
  <c r="F6" i="2" s="1"/>
  <c r="F24" i="2" s="1"/>
  <c r="F38" i="2" s="1"/>
  <c r="E3" i="2"/>
  <c r="E6" i="2" s="1"/>
  <c r="E24" i="2" s="1"/>
  <c r="E38" i="2" s="1"/>
  <c r="D3" i="2"/>
  <c r="D6" i="2" s="1"/>
  <c r="D24" i="2" s="1"/>
  <c r="D38" i="2" s="1"/>
  <c r="AK2" i="2"/>
  <c r="AK22" i="2" s="1"/>
  <c r="AK41" i="2" s="1"/>
  <c r="AJ2" i="2"/>
  <c r="AJ22" i="2" s="1"/>
  <c r="AJ41" i="2" s="1"/>
  <c r="AJ42" i="2" s="1"/>
  <c r="AI2" i="2"/>
  <c r="AI22" i="2" s="1"/>
  <c r="AI41" i="2" s="1"/>
  <c r="AI42" i="2" s="1"/>
  <c r="AH2" i="2"/>
  <c r="AH22" i="2" s="1"/>
  <c r="AH41" i="2" s="1"/>
  <c r="AG2" i="2"/>
  <c r="AF2" i="2"/>
  <c r="AF22" i="2" s="1"/>
  <c r="AF41" i="2" s="1"/>
  <c r="AF42" i="2" s="1"/>
  <c r="AE2" i="2"/>
  <c r="AE22" i="2" s="1"/>
  <c r="AE41" i="2" s="1"/>
  <c r="AE42" i="2" s="1"/>
  <c r="AD2" i="2"/>
  <c r="AD22" i="2" s="1"/>
  <c r="AD41" i="2" s="1"/>
  <c r="AC2" i="2"/>
  <c r="AC22" i="2" s="1"/>
  <c r="AC41" i="2" s="1"/>
  <c r="AB2" i="2"/>
  <c r="AB22" i="2" s="1"/>
  <c r="AB41" i="2" s="1"/>
  <c r="AA2" i="2"/>
  <c r="Z2" i="2"/>
  <c r="Z22" i="2" s="1"/>
  <c r="Z41" i="2" s="1"/>
  <c r="Y2" i="2"/>
  <c r="Y22" i="2" s="1"/>
  <c r="Y41" i="2" s="1"/>
  <c r="X2" i="2"/>
  <c r="X22" i="2" s="1"/>
  <c r="X41" i="2" s="1"/>
  <c r="X42" i="2" s="1"/>
  <c r="W2" i="2"/>
  <c r="W22" i="2" s="1"/>
  <c r="W41" i="2" s="1"/>
  <c r="W42" i="2" s="1"/>
  <c r="V2" i="2"/>
  <c r="V22" i="2" s="1"/>
  <c r="V41" i="2" s="1"/>
  <c r="U2" i="2"/>
  <c r="T2" i="2"/>
  <c r="T22" i="2" s="1"/>
  <c r="T41" i="2" s="1"/>
  <c r="S2" i="2"/>
  <c r="S22" i="2" s="1"/>
  <c r="S41" i="2" s="1"/>
  <c r="S42" i="2" s="1"/>
  <c r="R2" i="2"/>
  <c r="R22" i="2" s="1"/>
  <c r="R41" i="2" s="1"/>
  <c r="Q2" i="2"/>
  <c r="Q22" i="2" s="1"/>
  <c r="Q41" i="2" s="1"/>
  <c r="P2" i="2"/>
  <c r="P22" i="2" s="1"/>
  <c r="P41" i="2" s="1"/>
  <c r="P42" i="2" s="1"/>
  <c r="O2" i="2"/>
  <c r="O22" i="2" s="1"/>
  <c r="O41" i="2" s="1"/>
  <c r="O42" i="2" s="1"/>
  <c r="N2" i="2"/>
  <c r="M2" i="2"/>
  <c r="M22" i="2" s="1"/>
  <c r="M41" i="2" s="1"/>
  <c r="L2" i="2"/>
  <c r="L22" i="2" s="1"/>
  <c r="L41" i="2" s="1"/>
  <c r="K2" i="2"/>
  <c r="K22" i="2" s="1"/>
  <c r="K41" i="2" s="1"/>
  <c r="K42" i="2" s="1"/>
  <c r="J2" i="2"/>
  <c r="J22" i="2" s="1"/>
  <c r="J41" i="2" s="1"/>
  <c r="I2" i="2"/>
  <c r="H2" i="2"/>
  <c r="H22" i="2" s="1"/>
  <c r="H41" i="2" s="1"/>
  <c r="G2" i="2"/>
  <c r="G22" i="2" s="1"/>
  <c r="G41" i="2" s="1"/>
  <c r="G42" i="2" s="1"/>
  <c r="F2" i="2"/>
  <c r="F22" i="2" s="1"/>
  <c r="F41" i="2" s="1"/>
  <c r="E2" i="2"/>
  <c r="E22" i="2" s="1"/>
  <c r="E41" i="2" s="1"/>
  <c r="D2" i="2"/>
  <c r="D22" i="2" s="1"/>
  <c r="D41" i="2" s="1"/>
  <c r="D42" i="2" s="1"/>
  <c r="C1" i="1"/>
  <c r="O11" i="3" l="1"/>
  <c r="G7" i="3"/>
  <c r="W4" i="3"/>
  <c r="P3" i="3"/>
  <c r="V7" i="3"/>
  <c r="W7" i="3"/>
  <c r="X11" i="3"/>
  <c r="H4" i="3"/>
  <c r="K7" i="3"/>
  <c r="D11" i="3"/>
  <c r="L11" i="3"/>
  <c r="O4" i="3"/>
  <c r="X7" i="3"/>
  <c r="Z11" i="3"/>
  <c r="P8" i="3"/>
  <c r="P11" i="3"/>
  <c r="Q36" i="2"/>
  <c r="AF27" i="2"/>
  <c r="P31" i="2"/>
  <c r="P30" i="2"/>
  <c r="AB31" i="2"/>
  <c r="AB30" i="2"/>
  <c r="AC31" i="2"/>
  <c r="AC30" i="2"/>
  <c r="AK42" i="2"/>
  <c r="AK49" i="2"/>
  <c r="F30" i="2"/>
  <c r="R31" i="2"/>
  <c r="R30" i="2"/>
  <c r="AD31" i="2"/>
  <c r="AD30" i="2"/>
  <c r="M42" i="2"/>
  <c r="Z42" i="2"/>
  <c r="W27" i="2"/>
  <c r="AI27" i="2"/>
  <c r="G30" i="2"/>
  <c r="G31" i="2"/>
  <c r="S30" i="2"/>
  <c r="S31" i="2"/>
  <c r="AE31" i="2"/>
  <c r="AE30" i="2"/>
  <c r="Y42" i="2"/>
  <c r="H31" i="2"/>
  <c r="H30" i="2"/>
  <c r="T31" i="2"/>
  <c r="T30" i="2"/>
  <c r="AF31" i="2"/>
  <c r="AF30" i="2"/>
  <c r="I30" i="2"/>
  <c r="I31" i="2"/>
  <c r="U30" i="2"/>
  <c r="U31" i="2"/>
  <c r="AG30" i="2"/>
  <c r="AG31" i="2"/>
  <c r="L42" i="2"/>
  <c r="Q42" i="2"/>
  <c r="AC42" i="2"/>
  <c r="J30" i="2"/>
  <c r="J31" i="2"/>
  <c r="V30" i="2"/>
  <c r="V31" i="2"/>
  <c r="AH30" i="2"/>
  <c r="AH31" i="2"/>
  <c r="E42" i="2"/>
  <c r="F42" i="2"/>
  <c r="R42" i="2"/>
  <c r="AD42" i="2"/>
  <c r="K31" i="2"/>
  <c r="K30" i="2"/>
  <c r="W30" i="2"/>
  <c r="W31" i="2"/>
  <c r="AI30" i="2"/>
  <c r="AI31" i="2"/>
  <c r="Q31" i="2"/>
  <c r="Q30" i="2"/>
  <c r="L31" i="2"/>
  <c r="L30" i="2"/>
  <c r="X31" i="2"/>
  <c r="X30" i="2"/>
  <c r="AJ30" i="2"/>
  <c r="AJ31" i="2"/>
  <c r="Q27" i="2"/>
  <c r="Z36" i="2"/>
  <c r="Z35" i="2"/>
  <c r="M31" i="2"/>
  <c r="M30" i="2"/>
  <c r="Y31" i="2"/>
  <c r="Y30" i="2"/>
  <c r="AK48" i="2"/>
  <c r="AK31" i="2"/>
  <c r="AK30" i="2"/>
  <c r="R35" i="2"/>
  <c r="H42" i="2"/>
  <c r="T42" i="2"/>
  <c r="N30" i="2"/>
  <c r="N31" i="2"/>
  <c r="Z31" i="2"/>
  <c r="Z30" i="2"/>
  <c r="N42" i="2"/>
  <c r="AE27" i="2"/>
  <c r="O30" i="2"/>
  <c r="O31" i="2"/>
  <c r="AA30" i="2"/>
  <c r="AA31" i="2"/>
  <c r="F35" i="2"/>
  <c r="AC52" i="2"/>
  <c r="AC53" i="2"/>
  <c r="AA22" i="2"/>
  <c r="AA41" i="2" s="1"/>
  <c r="AA42" i="2" s="1"/>
  <c r="J3" i="5"/>
  <c r="AK36" i="2"/>
  <c r="AK46" i="2"/>
  <c r="AM45" i="2"/>
  <c r="Q26" i="2"/>
  <c r="T27" i="2" s="1"/>
  <c r="G23" i="2"/>
  <c r="G34" i="2" s="1"/>
  <c r="G35" i="2" s="1"/>
  <c r="V23" i="2"/>
  <c r="V34" i="2" s="1"/>
  <c r="R26" i="2"/>
  <c r="U27" i="2" s="1"/>
  <c r="W52" i="2"/>
  <c r="P33" i="6"/>
  <c r="H31" i="6"/>
  <c r="H28" i="6"/>
  <c r="G17" i="6"/>
  <c r="G24" i="6" s="1"/>
  <c r="G53" i="2"/>
  <c r="G52" i="2"/>
  <c r="S53" i="2"/>
  <c r="AE53" i="2"/>
  <c r="H23" i="2"/>
  <c r="H34" i="2" s="1"/>
  <c r="X23" i="2"/>
  <c r="X34" i="2" s="1"/>
  <c r="D26" i="2"/>
  <c r="AD52" i="2"/>
  <c r="AF31" i="6"/>
  <c r="AF28" i="6"/>
  <c r="H53" i="2"/>
  <c r="H52" i="2"/>
  <c r="T53" i="2"/>
  <c r="T52" i="2"/>
  <c r="AF53" i="2"/>
  <c r="I23" i="2"/>
  <c r="I34" i="2" s="1"/>
  <c r="E26" i="2"/>
  <c r="H27" i="2" s="1"/>
  <c r="AE52" i="2"/>
  <c r="H14" i="6"/>
  <c r="H21" i="6" s="1"/>
  <c r="H13" i="6"/>
  <c r="H20" i="6" s="1"/>
  <c r="T31" i="6"/>
  <c r="T28" i="6"/>
  <c r="S14" i="6"/>
  <c r="S21" i="6" s="1"/>
  <c r="U23" i="2"/>
  <c r="U34" i="2" s="1"/>
  <c r="AG23" i="2"/>
  <c r="AG34" i="2" s="1"/>
  <c r="S54" i="2"/>
  <c r="AE54" i="2"/>
  <c r="U53" i="2"/>
  <c r="U52" i="2"/>
  <c r="AG53" i="2"/>
  <c r="AG52" i="2"/>
  <c r="J23" i="2"/>
  <c r="J34" i="2" s="1"/>
  <c r="AF52" i="2"/>
  <c r="Q4" i="3"/>
  <c r="Q3" i="3"/>
  <c r="AC4" i="3"/>
  <c r="AC3" i="3"/>
  <c r="AC11" i="3"/>
  <c r="D3" i="6"/>
  <c r="D33" i="6" s="1"/>
  <c r="Q28" i="6"/>
  <c r="S27" i="6"/>
  <c r="L6" i="2"/>
  <c r="L24" i="2" s="1"/>
  <c r="L38" i="2" s="1"/>
  <c r="X6" i="2"/>
  <c r="X24" i="2" s="1"/>
  <c r="X38" i="2" s="1"/>
  <c r="AJ6" i="2"/>
  <c r="AJ24" i="2" s="1"/>
  <c r="AJ38" i="2" s="1"/>
  <c r="J52" i="2"/>
  <c r="V52" i="2"/>
  <c r="AH52" i="2"/>
  <c r="AH53" i="2"/>
  <c r="L23" i="2"/>
  <c r="L34" i="2" s="1"/>
  <c r="M35" i="2" s="1"/>
  <c r="AB23" i="2"/>
  <c r="AB34" i="2" s="1"/>
  <c r="W26" i="2"/>
  <c r="F3" i="3"/>
  <c r="F11" i="3"/>
  <c r="R3" i="3"/>
  <c r="R4" i="3"/>
  <c r="R11" i="3"/>
  <c r="AB4" i="3"/>
  <c r="AA4" i="3"/>
  <c r="Z4" i="3"/>
  <c r="AD3" i="3"/>
  <c r="AD7" i="3"/>
  <c r="AD4" i="3"/>
  <c r="E3" i="6"/>
  <c r="E14" i="6" s="1"/>
  <c r="E21" i="6" s="1"/>
  <c r="Q3" i="6"/>
  <c r="Q13" i="6" s="1"/>
  <c r="Q20" i="6" s="1"/>
  <c r="P3" i="6"/>
  <c r="P13" i="6" s="1"/>
  <c r="P20" i="6" s="1"/>
  <c r="W34" i="2"/>
  <c r="K52" i="2"/>
  <c r="AI52" i="2"/>
  <c r="AC23" i="2"/>
  <c r="AC34" i="2" s="1"/>
  <c r="D52" i="2"/>
  <c r="I53" i="2"/>
  <c r="G3" i="3"/>
  <c r="G4" i="3"/>
  <c r="H3" i="3"/>
  <c r="M14" i="6"/>
  <c r="M21" i="6" s="1"/>
  <c r="AI34" i="2"/>
  <c r="L53" i="2"/>
  <c r="L52" i="2"/>
  <c r="X53" i="2"/>
  <c r="X52" i="2"/>
  <c r="AJ53" i="2"/>
  <c r="N23" i="2"/>
  <c r="N34" i="2" s="1"/>
  <c r="AD23" i="2"/>
  <c r="AD34" i="2" s="1"/>
  <c r="E52" i="2"/>
  <c r="J53" i="2"/>
  <c r="AF4" i="3"/>
  <c r="F7" i="3"/>
  <c r="I8" i="3" s="1"/>
  <c r="R7" i="3"/>
  <c r="R13" i="6"/>
  <c r="R20" i="6" s="1"/>
  <c r="Q16" i="6"/>
  <c r="Q23" i="6" s="1"/>
  <c r="R27" i="6"/>
  <c r="R30" i="6"/>
  <c r="M26" i="2"/>
  <c r="Y26" i="2"/>
  <c r="AK26" i="2"/>
  <c r="J14" i="5" s="1"/>
  <c r="M52" i="2"/>
  <c r="M53" i="2"/>
  <c r="Y52" i="2"/>
  <c r="AK52" i="2"/>
  <c r="P23" i="2"/>
  <c r="P34" i="2" s="1"/>
  <c r="T36" i="2" s="1"/>
  <c r="AE23" i="2"/>
  <c r="AE34" i="2" s="1"/>
  <c r="K26" i="2"/>
  <c r="L27" i="2" s="1"/>
  <c r="F52" i="2"/>
  <c r="K53" i="2"/>
  <c r="U4" i="3"/>
  <c r="T14" i="6"/>
  <c r="T21" i="6" s="1"/>
  <c r="T13" i="6"/>
  <c r="T20" i="6" s="1"/>
  <c r="D6" i="6"/>
  <c r="D16" i="6" s="1"/>
  <c r="D23" i="6" s="1"/>
  <c r="P6" i="6"/>
  <c r="O6" i="6"/>
  <c r="O17" i="6" s="1"/>
  <c r="O24" i="6" s="1"/>
  <c r="AD6" i="6"/>
  <c r="AD16" i="6" s="1"/>
  <c r="AD23" i="6" s="1"/>
  <c r="G14" i="6"/>
  <c r="G21" i="6" s="1"/>
  <c r="Z26" i="2"/>
  <c r="AC27" i="2" s="1"/>
  <c r="L54" i="2"/>
  <c r="X54" i="2"/>
  <c r="AJ54" i="2"/>
  <c r="N52" i="2"/>
  <c r="N53" i="2"/>
  <c r="Z52" i="2"/>
  <c r="Z53" i="2"/>
  <c r="AF23" i="2"/>
  <c r="AF34" i="2" s="1"/>
  <c r="J4" i="3"/>
  <c r="AH4" i="3"/>
  <c r="E11" i="3"/>
  <c r="J5" i="5" s="1"/>
  <c r="Q11" i="3"/>
  <c r="Q31" i="6"/>
  <c r="E16" i="6"/>
  <c r="E23" i="6" s="1"/>
  <c r="K34" i="2"/>
  <c r="I22" i="2"/>
  <c r="I41" i="2" s="1"/>
  <c r="I42" i="2" s="1"/>
  <c r="U22" i="2"/>
  <c r="U41" i="2" s="1"/>
  <c r="U42" i="2" s="1"/>
  <c r="AG22" i="2"/>
  <c r="AG41" i="2" s="1"/>
  <c r="AG42" i="2" s="1"/>
  <c r="O26" i="2"/>
  <c r="R27" i="2" s="1"/>
  <c r="O23" i="2"/>
  <c r="O34" i="2" s="1"/>
  <c r="AA26" i="2"/>
  <c r="AD27" i="2" s="1"/>
  <c r="AA23" i="2"/>
  <c r="AA34" i="2" s="1"/>
  <c r="M54" i="2"/>
  <c r="Y54" i="2"/>
  <c r="AK54" i="2"/>
  <c r="O52" i="2"/>
  <c r="AA52" i="2"/>
  <c r="AA53" i="2"/>
  <c r="AH23" i="2"/>
  <c r="AH34" i="2" s="1"/>
  <c r="Q52" i="2"/>
  <c r="V53" i="2"/>
  <c r="K4" i="3"/>
  <c r="AI4" i="3"/>
  <c r="AD11" i="3"/>
  <c r="O16" i="6"/>
  <c r="O23" i="6" s="1"/>
  <c r="AA16" i="6"/>
  <c r="AA23" i="6" s="1"/>
  <c r="E17" i="6"/>
  <c r="E24" i="6" s="1"/>
  <c r="R31" i="6"/>
  <c r="AD28" i="6"/>
  <c r="AE14" i="6"/>
  <c r="AE21" i="6" s="1"/>
  <c r="AD30" i="6"/>
  <c r="AD27" i="6"/>
  <c r="N54" i="2"/>
  <c r="Z54" i="2"/>
  <c r="D53" i="2"/>
  <c r="P52" i="2"/>
  <c r="P53" i="2"/>
  <c r="AB52" i="2"/>
  <c r="S23" i="2"/>
  <c r="S34" i="2" s="1"/>
  <c r="T35" i="2" s="1"/>
  <c r="AJ23" i="2"/>
  <c r="AJ34" i="2" s="1"/>
  <c r="AK35" i="2" s="1"/>
  <c r="AG26" i="2"/>
  <c r="AJ27" i="2" s="1"/>
  <c r="R52" i="2"/>
  <c r="I4" i="3"/>
  <c r="J7" i="3"/>
  <c r="K8" i="3" s="1"/>
  <c r="G11" i="3"/>
  <c r="AH3" i="6"/>
  <c r="AH13" i="6" s="1"/>
  <c r="AH20" i="6" s="1"/>
  <c r="D13" i="6"/>
  <c r="D20" i="6" s="1"/>
  <c r="P16" i="6"/>
  <c r="P23" i="6" s="1"/>
  <c r="AB13" i="6"/>
  <c r="AB20" i="6" s="1"/>
  <c r="F14" i="6"/>
  <c r="F21" i="6" s="1"/>
  <c r="S31" i="6"/>
  <c r="AE28" i="6"/>
  <c r="E7" i="3"/>
  <c r="H8" i="3" s="1"/>
  <c r="Q7" i="3"/>
  <c r="Q8" i="3" s="1"/>
  <c r="AC7" i="3"/>
  <c r="K11" i="3"/>
  <c r="W11" i="3"/>
  <c r="AI11" i="3"/>
  <c r="Y3" i="6"/>
  <c r="Y33" i="6" s="1"/>
  <c r="J6" i="6"/>
  <c r="X6" i="6"/>
  <c r="X16" i="6" s="1"/>
  <c r="X23" i="6" s="1"/>
  <c r="Q33" i="6"/>
  <c r="AC33" i="6"/>
  <c r="G13" i="6"/>
  <c r="G20" i="6" s="1"/>
  <c r="H30" i="6"/>
  <c r="H27" i="6"/>
  <c r="G16" i="6"/>
  <c r="G23" i="6" s="1"/>
  <c r="S13" i="6"/>
  <c r="S20" i="6" s="1"/>
  <c r="T30" i="6"/>
  <c r="T27" i="6"/>
  <c r="S16" i="6"/>
  <c r="S23" i="6" s="1"/>
  <c r="AE13" i="6"/>
  <c r="AE20" i="6" s="1"/>
  <c r="AF30" i="6"/>
  <c r="AF27" i="6"/>
  <c r="AE16" i="6"/>
  <c r="AE23" i="6" s="1"/>
  <c r="I17" i="6"/>
  <c r="I24" i="6" s="1"/>
  <c r="J31" i="6"/>
  <c r="J28" i="6"/>
  <c r="U17" i="6"/>
  <c r="U24" i="6" s="1"/>
  <c r="V31" i="6"/>
  <c r="V28" i="6"/>
  <c r="AG17" i="6"/>
  <c r="AG24" i="6" s="1"/>
  <c r="W27" i="6"/>
  <c r="K30" i="6"/>
  <c r="AI30" i="6"/>
  <c r="M3" i="3"/>
  <c r="AA3" i="3"/>
  <c r="D8" i="3"/>
  <c r="Z3" i="6"/>
  <c r="Y6" i="6"/>
  <c r="F33" i="6"/>
  <c r="R33" i="6"/>
  <c r="AD33" i="6"/>
  <c r="J14" i="6"/>
  <c r="J21" i="6" s="1"/>
  <c r="V14" i="6"/>
  <c r="V21" i="6" s="1"/>
  <c r="AH14" i="6"/>
  <c r="AH21" i="6" s="1"/>
  <c r="L14" i="6"/>
  <c r="L21" i="6" s="1"/>
  <c r="R17" i="6"/>
  <c r="R24" i="6" s="1"/>
  <c r="R28" i="6"/>
  <c r="N3" i="3"/>
  <c r="AB3" i="3"/>
  <c r="N4" i="3"/>
  <c r="AA3" i="6"/>
  <c r="AA13" i="6" s="1"/>
  <c r="AA20" i="6" s="1"/>
  <c r="G33" i="6"/>
  <c r="S33" i="6"/>
  <c r="AE33" i="6"/>
  <c r="J30" i="6"/>
  <c r="V30" i="6"/>
  <c r="AH30" i="6"/>
  <c r="K31" i="6"/>
  <c r="W31" i="6"/>
  <c r="AI31" i="6"/>
  <c r="V13" i="6"/>
  <c r="V20" i="6" s="1"/>
  <c r="S28" i="6"/>
  <c r="G31" i="6"/>
  <c r="L7" i="3"/>
  <c r="O8" i="3" s="1"/>
  <c r="AF11" i="3"/>
  <c r="AJ3" i="6"/>
  <c r="AJ14" i="6" s="1"/>
  <c r="AJ21" i="6" s="1"/>
  <c r="H33" i="6"/>
  <c r="T33" i="6"/>
  <c r="AF33" i="6"/>
  <c r="AJ31" i="6"/>
  <c r="X28" i="6"/>
  <c r="L31" i="6"/>
  <c r="AF3" i="3"/>
  <c r="P4" i="3"/>
  <c r="AG11" i="3"/>
  <c r="K3" i="6"/>
  <c r="K14" i="6" s="1"/>
  <c r="K21" i="6" s="1"/>
  <c r="AC3" i="6"/>
  <c r="AC13" i="6" s="1"/>
  <c r="AC20" i="6" s="1"/>
  <c r="Z6" i="6"/>
  <c r="Z16" i="6" s="1"/>
  <c r="Z23" i="6" s="1"/>
  <c r="AC6" i="6"/>
  <c r="AC17" i="6" s="1"/>
  <c r="AC24" i="6" s="1"/>
  <c r="AB6" i="6"/>
  <c r="AB17" i="6" s="1"/>
  <c r="AB24" i="6" s="1"/>
  <c r="AE6" i="6"/>
  <c r="AE17" i="6" s="1"/>
  <c r="AE24" i="6" s="1"/>
  <c r="I33" i="6"/>
  <c r="U33" i="6"/>
  <c r="K13" i="6"/>
  <c r="K20" i="6" s="1"/>
  <c r="K16" i="6"/>
  <c r="K23" i="6" s="1"/>
  <c r="W13" i="6"/>
  <c r="W20" i="6" s="1"/>
  <c r="W16" i="6"/>
  <c r="W23" i="6" s="1"/>
  <c r="N31" i="6"/>
  <c r="N28" i="6"/>
  <c r="Z31" i="6"/>
  <c r="Z28" i="6"/>
  <c r="J16" i="6"/>
  <c r="J23" i="6" s="1"/>
  <c r="Y17" i="6"/>
  <c r="Y24" i="6" s="1"/>
  <c r="G27" i="6"/>
  <c r="AE27" i="6"/>
  <c r="Y28" i="6"/>
  <c r="S30" i="6"/>
  <c r="M31" i="6"/>
  <c r="X4" i="3"/>
  <c r="AJ4" i="3"/>
  <c r="AE4" i="3"/>
  <c r="T11" i="3"/>
  <c r="AJ11" i="3"/>
  <c r="AD3" i="6"/>
  <c r="AD13" i="6" s="1"/>
  <c r="AD20" i="6" s="1"/>
  <c r="AF6" i="6"/>
  <c r="AF16" i="6" s="1"/>
  <c r="AF23" i="6" s="1"/>
  <c r="J33" i="6"/>
  <c r="V33" i="6"/>
  <c r="AH33" i="6"/>
  <c r="L13" i="6"/>
  <c r="L20" i="6" s="1"/>
  <c r="X13" i="6"/>
  <c r="X20" i="6" s="1"/>
  <c r="AJ13" i="6"/>
  <c r="AJ20" i="6" s="1"/>
  <c r="N14" i="6"/>
  <c r="N21" i="6" s="1"/>
  <c r="N17" i="6"/>
  <c r="N24" i="6" s="1"/>
  <c r="Z14" i="6"/>
  <c r="Z21" i="6" s="1"/>
  <c r="U14" i="6"/>
  <c r="U21" i="6" s="1"/>
  <c r="L16" i="6"/>
  <c r="L23" i="6" s="1"/>
  <c r="U30" i="6"/>
  <c r="O31" i="6"/>
  <c r="Y4" i="3"/>
  <c r="AH3" i="3"/>
  <c r="AE7" i="3"/>
  <c r="U11" i="3"/>
  <c r="K33" i="6"/>
  <c r="AI33" i="6"/>
  <c r="N30" i="6"/>
  <c r="N27" i="6"/>
  <c r="M16" i="6"/>
  <c r="M23" i="6" s="1"/>
  <c r="M13" i="6"/>
  <c r="M20" i="6" s="1"/>
  <c r="Z30" i="6"/>
  <c r="Z27" i="6"/>
  <c r="Y16" i="6"/>
  <c r="Y23" i="6" s="1"/>
  <c r="Y13" i="6"/>
  <c r="Y20" i="6" s="1"/>
  <c r="O14" i="6"/>
  <c r="O21" i="6" s="1"/>
  <c r="P31" i="6"/>
  <c r="P28" i="6"/>
  <c r="AA14" i="6"/>
  <c r="AA21" i="6" s="1"/>
  <c r="AB31" i="6"/>
  <c r="AB28" i="6"/>
  <c r="AA31" i="6"/>
  <c r="K27" i="6"/>
  <c r="AI27" i="6"/>
  <c r="AC28" i="6"/>
  <c r="U3" i="3"/>
  <c r="AI3" i="3"/>
  <c r="S4" i="3"/>
  <c r="AG4" i="3"/>
  <c r="AF3" i="6"/>
  <c r="S6" i="6"/>
  <c r="S17" i="6" s="1"/>
  <c r="S24" i="6" s="1"/>
  <c r="AH6" i="6"/>
  <c r="AH16" i="6" s="1"/>
  <c r="AH23" i="6" s="1"/>
  <c r="L33" i="6"/>
  <c r="X33" i="6"/>
  <c r="AJ33" i="6"/>
  <c r="O30" i="6"/>
  <c r="O27" i="6"/>
  <c r="N13" i="6"/>
  <c r="N20" i="6" s="1"/>
  <c r="AA30" i="6"/>
  <c r="AA27" i="6"/>
  <c r="Z13" i="6"/>
  <c r="Z20" i="6" s="1"/>
  <c r="D14" i="6"/>
  <c r="D21" i="6" s="1"/>
  <c r="P17" i="6"/>
  <c r="P24" i="6" s="1"/>
  <c r="P14" i="6"/>
  <c r="P21" i="6" s="1"/>
  <c r="AC31" i="6"/>
  <c r="X14" i="6"/>
  <c r="X21" i="6" s="1"/>
  <c r="F17" i="6"/>
  <c r="F24" i="6" s="1"/>
  <c r="AD17" i="6"/>
  <c r="AD24" i="6" s="1"/>
  <c r="L27" i="6"/>
  <c r="AJ27" i="6"/>
  <c r="X30" i="6"/>
  <c r="AJ3" i="3"/>
  <c r="F8" i="3"/>
  <c r="S7" i="3"/>
  <c r="I11" i="3"/>
  <c r="Y11" i="3"/>
  <c r="AG3" i="6"/>
  <c r="AG33" i="6" s="1"/>
  <c r="AI6" i="6"/>
  <c r="AI16" i="6" s="1"/>
  <c r="AI23" i="6" s="1"/>
  <c r="M33" i="6"/>
  <c r="P30" i="6"/>
  <c r="P27" i="6"/>
  <c r="AB30" i="6"/>
  <c r="AB27" i="6"/>
  <c r="Q14" i="6"/>
  <c r="Q21" i="6" s="1"/>
  <c r="AD31" i="6"/>
  <c r="AC14" i="6"/>
  <c r="AC21" i="6" s="1"/>
  <c r="Y14" i="6"/>
  <c r="Y21" i="6" s="1"/>
  <c r="M27" i="6"/>
  <c r="G28" i="6"/>
  <c r="Y30" i="6"/>
  <c r="AJ6" i="6"/>
  <c r="AJ16" i="6" s="1"/>
  <c r="AJ23" i="6" s="1"/>
  <c r="N33" i="6"/>
  <c r="Z33" i="6"/>
  <c r="Q30" i="6"/>
  <c r="Q27" i="6"/>
  <c r="AC30" i="6"/>
  <c r="AC27" i="6"/>
  <c r="AE31" i="6"/>
  <c r="O13" i="6"/>
  <c r="O20" i="6" s="1"/>
  <c r="AD14" i="6"/>
  <c r="AD21" i="6" s="1"/>
  <c r="L17" i="6"/>
  <c r="L24" i="6" s="1"/>
  <c r="AJ28" i="6"/>
  <c r="X31" i="6"/>
  <c r="W3" i="6"/>
  <c r="W14" i="6" s="1"/>
  <c r="W21" i="6" s="1"/>
  <c r="AI3" i="6"/>
  <c r="AI14" i="6" s="1"/>
  <c r="AI21" i="6" s="1"/>
  <c r="AB14" i="6"/>
  <c r="AB21" i="6" s="1"/>
  <c r="J17" i="6"/>
  <c r="J24" i="6" s="1"/>
  <c r="V17" i="6"/>
  <c r="V24" i="6" s="1"/>
  <c r="AH28" i="6"/>
  <c r="AH31" i="6"/>
  <c r="X3" i="6"/>
  <c r="K17" i="6"/>
  <c r="K24" i="6" s="1"/>
  <c r="W17" i="6"/>
  <c r="W24" i="6" s="1"/>
  <c r="AI17" i="6"/>
  <c r="AI24" i="6" s="1"/>
  <c r="K28" i="6"/>
  <c r="W28" i="6"/>
  <c r="AI28" i="6"/>
  <c r="J27" i="6"/>
  <c r="V27" i="6"/>
  <c r="AH27" i="6"/>
  <c r="H17" i="6"/>
  <c r="H24" i="6" s="1"/>
  <c r="T17" i="6"/>
  <c r="T24" i="6" s="1"/>
  <c r="AF17" i="6"/>
  <c r="AF24" i="6" s="1"/>
  <c r="I28" i="6"/>
  <c r="U28" i="6"/>
  <c r="AG28" i="6"/>
  <c r="R8" i="3" l="1"/>
  <c r="E8" i="3"/>
  <c r="L8" i="3"/>
  <c r="K36" i="2"/>
  <c r="K35" i="2"/>
  <c r="AC16" i="6"/>
  <c r="AC23" i="6" s="1"/>
  <c r="AH36" i="2"/>
  <c r="AH35" i="2"/>
  <c r="J36" i="2"/>
  <c r="J35" i="2"/>
  <c r="AH27" i="2"/>
  <c r="AJ17" i="6"/>
  <c r="AJ24" i="6" s="1"/>
  <c r="E33" i="6"/>
  <c r="E13" i="6"/>
  <c r="E20" i="6" s="1"/>
  <c r="AB27" i="2"/>
  <c r="AD35" i="2"/>
  <c r="AD36" i="2"/>
  <c r="S8" i="3"/>
  <c r="K27" i="2"/>
  <c r="AI13" i="6"/>
  <c r="AI20" i="6" s="1"/>
  <c r="P27" i="2"/>
  <c r="N35" i="2"/>
  <c r="N36" i="2"/>
  <c r="G8" i="3"/>
  <c r="Z27" i="2"/>
  <c r="S27" i="2"/>
  <c r="R36" i="2"/>
  <c r="X27" i="2"/>
  <c r="AC35" i="2"/>
  <c r="AC36" i="2"/>
  <c r="AB35" i="2"/>
  <c r="AB36" i="2"/>
  <c r="I35" i="2"/>
  <c r="I36" i="2"/>
  <c r="E27" i="2"/>
  <c r="D27" i="2"/>
  <c r="G27" i="2"/>
  <c r="F27" i="2"/>
  <c r="J11" i="5"/>
  <c r="AH42" i="2"/>
  <c r="L36" i="2"/>
  <c r="L35" i="2"/>
  <c r="X36" i="2"/>
  <c r="X35" i="2"/>
  <c r="V42" i="2"/>
  <c r="AK27" i="2"/>
  <c r="AG27" i="2"/>
  <c r="AJ36" i="2"/>
  <c r="AJ35" i="2"/>
  <c r="AH17" i="6"/>
  <c r="AH24" i="6" s="1"/>
  <c r="AA35" i="2"/>
  <c r="AA36" i="2"/>
  <c r="AA33" i="6"/>
  <c r="N27" i="2"/>
  <c r="AG35" i="2"/>
  <c r="AG36" i="2"/>
  <c r="H36" i="2"/>
  <c r="H35" i="2"/>
  <c r="J42" i="2"/>
  <c r="Y27" i="2"/>
  <c r="N8" i="3"/>
  <c r="AE36" i="2"/>
  <c r="AE35" i="2"/>
  <c r="W36" i="2"/>
  <c r="W35" i="2"/>
  <c r="U36" i="2"/>
  <c r="U35" i="2"/>
  <c r="M27" i="2"/>
  <c r="Z17" i="6"/>
  <c r="Z24" i="6" s="1"/>
  <c r="AE8" i="3"/>
  <c r="AD8" i="3"/>
  <c r="AB8" i="3"/>
  <c r="AA8" i="3"/>
  <c r="Z8" i="3"/>
  <c r="Y8" i="3"/>
  <c r="X8" i="3"/>
  <c r="W8" i="3"/>
  <c r="AJ8" i="3"/>
  <c r="V8" i="3"/>
  <c r="AI8" i="3"/>
  <c r="AH8" i="3"/>
  <c r="AG8" i="3"/>
  <c r="AF8" i="3"/>
  <c r="AC8" i="3"/>
  <c r="AB16" i="6"/>
  <c r="AB23" i="6" s="1"/>
  <c r="M8" i="3"/>
  <c r="O35" i="2"/>
  <c r="O36" i="2"/>
  <c r="P35" i="2"/>
  <c r="P36" i="2"/>
  <c r="J8" i="3"/>
  <c r="Y36" i="2"/>
  <c r="AA27" i="2"/>
  <c r="AB42" i="2"/>
  <c r="AG13" i="6"/>
  <c r="AG20" i="6" s="1"/>
  <c r="AG14" i="6"/>
  <c r="AG21" i="6" s="1"/>
  <c r="D17" i="6"/>
  <c r="D24" i="6" s="1"/>
  <c r="AF36" i="2"/>
  <c r="AF35" i="2"/>
  <c r="U8" i="3"/>
  <c r="AI35" i="2"/>
  <c r="AI36" i="2"/>
  <c r="V35" i="2"/>
  <c r="V36" i="2"/>
  <c r="Y35" i="2"/>
  <c r="O27" i="2"/>
  <c r="S36" i="2"/>
  <c r="S35" i="2"/>
  <c r="AF14" i="6"/>
  <c r="AF21" i="6" s="1"/>
  <c r="AF13" i="6"/>
  <c r="AF20" i="6" s="1"/>
  <c r="W33" i="6"/>
  <c r="X17" i="6"/>
  <c r="X24" i="6" s="1"/>
  <c r="T8" i="3"/>
  <c r="M36" i="2"/>
  <c r="Q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Xander</author>
  </authors>
  <commentList>
    <comment ref="R20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Xander:
Net income / eps = shares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Xander</author>
  </authors>
  <commentList>
    <comment ref="K3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Xander:
What is this pulling from? Can't find on RO tab</t>
        </r>
      </text>
    </comment>
  </commentList>
</comments>
</file>

<file path=xl/sharedStrings.xml><?xml version="1.0" encoding="utf-8"?>
<sst xmlns="http://schemas.openxmlformats.org/spreadsheetml/2006/main" count="555" uniqueCount="304">
  <si>
    <t>Company</t>
  </si>
  <si>
    <t>Industry</t>
  </si>
  <si>
    <t>Whiskey &amp; bars</t>
  </si>
  <si>
    <t>Ticker</t>
  </si>
  <si>
    <t>KUH</t>
  </si>
  <si>
    <t>Country</t>
  </si>
  <si>
    <t>Singapore</t>
  </si>
  <si>
    <t>Currency</t>
  </si>
  <si>
    <t>SGD</t>
  </si>
  <si>
    <t>Price (input)</t>
  </si>
  <si>
    <t>Market Cap (mm USD)</t>
  </si>
  <si>
    <t>P/NCAV</t>
  </si>
  <si>
    <t>Date Founded</t>
  </si>
  <si>
    <t>Website</t>
  </si>
  <si>
    <t>https://tshcorp.com.sg/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</si>
  <si>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</si>
  <si>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</si>
  <si>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</si>
  <si>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</si>
  <si>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</si>
  <si>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</si>
  <si>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</si>
  <si>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</si>
  <si>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</si>
  <si>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</si>
  <si>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</si>
  <si>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</si>
  <si>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</si>
  <si>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</si>
  <si>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</si>
  <si>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</si>
  <si>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</si>
  <si>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</si>
  <si>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</si>
  <si>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</si>
  <si>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</si>
  <si>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</si>
  <si>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</si>
  <si>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</si>
  <si>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</si>
  <si>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</si>
  <si>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</si>
  <si>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</si>
  <si>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</si>
  <si>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</si>
  <si>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</si>
  <si>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</si>
  <si>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</si>
  <si>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</si>
  <si>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Cash &amp; other liquid securities</t>
  </si>
  <si>
    <t>AR</t>
  </si>
  <si>
    <t>Inventory</t>
  </si>
  <si>
    <t>Current Assets</t>
  </si>
  <si>
    <t>Discounted CA</t>
  </si>
  <si>
    <t>Total Assets</t>
  </si>
  <si>
    <t>Intangible Assets</t>
  </si>
  <si>
    <t>Current Liabilities</t>
  </si>
  <si>
    <t>Total Liabilities</t>
  </si>
  <si>
    <t>Debt</t>
  </si>
  <si>
    <t>Equity</t>
  </si>
  <si>
    <t>Net Tangible Assets</t>
  </si>
  <si>
    <t>Shares Outstanding</t>
  </si>
  <si>
    <t>Net Cash</t>
  </si>
  <si>
    <t>Net Current Assets</t>
  </si>
  <si>
    <t>Discounted Net Current Assets</t>
  </si>
  <si>
    <t>Current Ratio</t>
  </si>
  <si>
    <t>4 period ma</t>
  </si>
  <si>
    <t>Net Tangible Assets / Share</t>
  </si>
  <si>
    <t>% QoQ</t>
  </si>
  <si>
    <t>% YoY</t>
  </si>
  <si>
    <t>NCAV / Share</t>
  </si>
  <si>
    <t>Discounted NCAV / Share</t>
  </si>
  <si>
    <t>Net Cash / Share</t>
  </si>
  <si>
    <t>Price</t>
  </si>
  <si>
    <t>Buy below:</t>
  </si>
  <si>
    <t>P / NCAV</t>
  </si>
  <si>
    <t>P / Discounted NCAV</t>
  </si>
  <si>
    <t>P / NTA</t>
  </si>
  <si>
    <t>P / Net Cash</t>
  </si>
  <si>
    <t>D / Assets</t>
  </si>
  <si>
    <t>D / E</t>
  </si>
  <si>
    <t>Total Liabilities / Equity</t>
  </si>
  <si>
    <t>Sales</t>
  </si>
  <si>
    <t>Gross Income</t>
  </si>
  <si>
    <t>% Margin</t>
  </si>
  <si>
    <t>% Margin 4 per MA</t>
  </si>
  <si>
    <t>Net Income</t>
  </si>
  <si>
    <t>Positive earnings</t>
  </si>
  <si>
    <t>AUTO: NI = 0 (positive)</t>
  </si>
  <si>
    <t>Positive CF</t>
  </si>
  <si>
    <t>MANUAL: OCF data not available in standard export</t>
  </si>
  <si>
    <t>Increasing ROA</t>
  </si>
  <si>
    <t>AUTO: ROA: 2.92% -&gt; 2.91% (↓)</t>
  </si>
  <si>
    <t>ro!AI21; ro!AJ21</t>
  </si>
  <si>
    <t>2025-03-31 → 2025-06-30</t>
  </si>
  <si>
    <t>Increasing CFO</t>
  </si>
  <si>
    <t>MANUAL: OCF data not available for accruals check</t>
  </si>
  <si>
    <t>Decreasing long term debt as a proportion of total assets</t>
  </si>
  <si>
    <t>AUTO: D/A: 4.26% -&gt; 2.84% (↓)</t>
  </si>
  <si>
    <t>ncav!AI52; ncav!AK52</t>
  </si>
  <si>
    <t>2024-12-31 → 2025-06-30</t>
  </si>
  <si>
    <t>increasing current ratio</t>
  </si>
  <si>
    <t>AUTO: CR: 2.73x -&gt; 3.41x (↑)</t>
  </si>
  <si>
    <t>ncav!AI26; ncav!AK26</t>
  </si>
  <si>
    <t>decreasing or stable numbers of standing shares</t>
  </si>
  <si>
    <t>AUTO: Shares: 44 -&gt; 44 (stable/↓)</t>
  </si>
  <si>
    <t>ncav!AI20; ncav!AK20</t>
  </si>
  <si>
    <t>increasing assets turnover (increasing sales as a proportion of total assets)</t>
  </si>
  <si>
    <t>AUTO: AT: 0.82x -&gt; 0.82x (↓)</t>
  </si>
  <si>
    <t>ro!AI33; ro!AJ33</t>
  </si>
  <si>
    <t>increasing gross margin</t>
  </si>
  <si>
    <t>AUTO: GM: 89.3% -&gt; 75.0% (↓)</t>
  </si>
  <si>
    <t>profitability!AI7; profitability!AJ7</t>
  </si>
  <si>
    <t>Piotrosky score</t>
  </si>
  <si>
    <t>Core 9 Criteria</t>
  </si>
  <si>
    <t>Not Majority Chinese</t>
  </si>
  <si>
    <t>MANUAL: Check company domicile manually</t>
  </si>
  <si>
    <t>Low Price-to-NACV (less than 67%)</t>
  </si>
  <si>
    <t>AUTO: P/NCAV = 8257.32 (threshold: 0.67)</t>
  </si>
  <si>
    <t>Low Debt-to-Equity</t>
  </si>
  <si>
    <t>AUTO: D/E = 0.04 (threshold: 0.5)</t>
  </si>
  <si>
    <t>Adequate Past Earnings or Catalyst (5%+ NI Margin)</t>
  </si>
  <si>
    <t>AUTO: Max NI margin = 28.6% (threshold: 5%)</t>
  </si>
  <si>
    <t>Past Price Above NCAV</t>
  </si>
  <si>
    <t>MANUAL: Requires historical price data</t>
  </si>
  <si>
    <t>Existing Operations or Liquidation</t>
  </si>
  <si>
    <t>MANUAL: Qualitative assessment required</t>
  </si>
  <si>
    <t>Not Selling Shares</t>
  </si>
  <si>
    <t>AUTO: Shares: 44 -&gt; 44</t>
  </si>
  <si>
    <t>Market Cap &lt;$50mm</t>
  </si>
  <si>
    <t>MANUAL: Market cap = 67,710 (currency/unit check needed)</t>
  </si>
  <si>
    <t>Low NCAV Burn Rate</t>
  </si>
  <si>
    <t>AUTO: Calculated NCAV YoY: 20.6%</t>
  </si>
  <si>
    <t>ncav!AI34; ncav!AK34</t>
  </si>
  <si>
    <t>Total</t>
  </si>
  <si>
    <t>Ranking Criteria (out of 9)</t>
  </si>
  <si>
    <t>Large Current Ratio (over 1.5x)</t>
  </si>
  <si>
    <t>AUTO: CR = 3.41x (threshold: 1.5x)</t>
  </si>
  <si>
    <t>Not financial/real estate/closed end fund</t>
  </si>
  <si>
    <t>MANUAL: Check industry classification manually</t>
  </si>
  <si>
    <t>Company is buying back stock</t>
  </si>
  <si>
    <t>AUTO: Shares: 44 -&gt; 44 (no buyback)</t>
  </si>
  <si>
    <t>Low Price-to-Net Cash</t>
  </si>
  <si>
    <t>MANUAL: Net cash calculation requires manual review</t>
  </si>
  <si>
    <t>Insider Ownership</t>
  </si>
  <si>
    <t>MANUAL: Check ownership sheet manually</t>
  </si>
  <si>
    <t>Insider Buys vs. Sells</t>
  </si>
  <si>
    <t>MANUAL: Requires insider transaction data</t>
  </si>
  <si>
    <t>Burn Rate Low or Positive</t>
  </si>
  <si>
    <t>AUTO: NCAV YoY: 20.6%</t>
  </si>
  <si>
    <t>Insider Pay</t>
  </si>
  <si>
    <t>Dividend Yield?</t>
  </si>
  <si>
    <t>MANUAL: Requires dividend and price data</t>
  </si>
  <si>
    <t>1 yr avg</t>
  </si>
  <si>
    <t>Total Equity</t>
  </si>
  <si>
    <t>EBIT</t>
  </si>
  <si>
    <t>NI</t>
  </si>
  <si>
    <t>Semi-Annually</t>
  </si>
  <si>
    <t>ROA (EBIT)</t>
  </si>
  <si>
    <t>ROA (NI)</t>
  </si>
  <si>
    <t>ROE (EBIT)</t>
  </si>
  <si>
    <t>ROE (NI)</t>
  </si>
  <si>
    <t>Annualized</t>
  </si>
  <si>
    <t>TTM</t>
  </si>
  <si>
    <t>Sales / Assets</t>
  </si>
  <si>
    <t>Name</t>
  </si>
  <si>
    <t>Title</t>
  </si>
  <si>
    <t>shares</t>
  </si>
  <si>
    <t>voting rights</t>
  </si>
  <si>
    <t>% shares</t>
  </si>
  <si>
    <t>% Voting</t>
  </si>
  <si>
    <t>TSH</t>
  </si>
  <si>
    <t>Premium Export</t>
  </si>
  <si>
    <t>Income Statement</t>
  </si>
  <si>
    <t>Q-33</t>
  </si>
  <si>
    <t>Q-32</t>
  </si>
  <si>
    <t>Q-31</t>
  </si>
  <si>
    <t>Q-30</t>
  </si>
  <si>
    <t>Q-29</t>
  </si>
  <si>
    <t>Q-28</t>
  </si>
  <si>
    <t>Q-27</t>
  </si>
  <si>
    <t>Q-26</t>
  </si>
  <si>
    <t>Q-25</t>
  </si>
  <si>
    <t>Q-24</t>
  </si>
  <si>
    <t>Q-23</t>
  </si>
  <si>
    <t>Q-22</t>
  </si>
  <si>
    <t>Q-21</t>
  </si>
  <si>
    <t>Q-20</t>
  </si>
  <si>
    <t>Q-19</t>
  </si>
  <si>
    <t>Q-18</t>
  </si>
  <si>
    <t>Q-17</t>
  </si>
  <si>
    <t>Q-16</t>
  </si>
  <si>
    <t>Q-15</t>
  </si>
  <si>
    <t>Q-14</t>
  </si>
  <si>
    <t>Q-13</t>
  </si>
  <si>
    <t>Q-12</t>
  </si>
  <si>
    <t>Q-11</t>
  </si>
  <si>
    <t>Q-10</t>
  </si>
  <si>
    <t>Q-9</t>
  </si>
  <si>
    <t>Q-8</t>
  </si>
  <si>
    <t>Q-7</t>
  </si>
  <si>
    <t>Q-6</t>
  </si>
  <si>
    <t>Q-5</t>
  </si>
  <si>
    <t>Q-4</t>
  </si>
  <si>
    <t>Q-3</t>
  </si>
  <si>
    <t>Q-2</t>
  </si>
  <si>
    <t>Q-1</t>
  </si>
  <si>
    <t>Q</t>
  </si>
  <si>
    <t>Period End Date</t>
  </si>
  <si>
    <t>Revenue</t>
  </si>
  <si>
    <t>Revenue Growth (YoY)</t>
  </si>
  <si>
    <t>NM</t>
  </si>
  <si>
    <t>41.6%</t>
  </si>
  <si>
    <t>17.9%</t>
  </si>
  <si>
    <t>15.9%</t>
  </si>
  <si>
    <t>21.4%</t>
  </si>
  <si>
    <t>-53.1%</t>
  </si>
  <si>
    <t>-40.6%</t>
  </si>
  <si>
    <t>45.0%</t>
  </si>
  <si>
    <t>8.5%</t>
  </si>
  <si>
    <t>30.8%</t>
  </si>
  <si>
    <t>115.8%</t>
  </si>
  <si>
    <t>45.4%</t>
  </si>
  <si>
    <t>1.5%</t>
  </si>
  <si>
    <t>12.4%</t>
  </si>
  <si>
    <t>9.0%</t>
  </si>
  <si>
    <t>Cost of Revenues</t>
  </si>
  <si>
    <t>Gross Profit</t>
  </si>
  <si>
    <t>Gross Profit Margin</t>
  </si>
  <si>
    <t>60.4%</t>
  </si>
  <si>
    <t>81.8%</t>
  </si>
  <si>
    <t>65.4%</t>
  </si>
  <si>
    <t>80.7%</t>
  </si>
  <si>
    <t>72.7%</t>
  </si>
  <si>
    <t>77.2%</t>
  </si>
  <si>
    <t>76.6%</t>
  </si>
  <si>
    <t>71.5%</t>
  </si>
  <si>
    <t>73.9%</t>
  </si>
  <si>
    <t>69.8%</t>
  </si>
  <si>
    <t>74.4%</t>
  </si>
  <si>
    <t>76.4%</t>
  </si>
  <si>
    <t>70.9%</t>
  </si>
  <si>
    <t>76.2%</t>
  </si>
  <si>
    <t>75.4%</t>
  </si>
  <si>
    <t>73.7%</t>
  </si>
  <si>
    <t>74.2%</t>
  </si>
  <si>
    <t>R&amp;D Expenses</t>
  </si>
  <si>
    <t>Selling, General &amp; Admin Expenses</t>
  </si>
  <si>
    <t>Other Inc / (Exp)</t>
  </si>
  <si>
    <t>Operating Expenses</t>
  </si>
  <si>
    <t>Operating Income</t>
  </si>
  <si>
    <t>Net Interest Expenses</t>
  </si>
  <si>
    <t>EBT, Incl. Unusual Items</t>
  </si>
  <si>
    <t>Earnings of Discontinued Ops.</t>
  </si>
  <si>
    <t>Income Tax Expense</t>
  </si>
  <si>
    <t>Net Income to Company</t>
  </si>
  <si>
    <t>Minority Interest in Earnings</t>
  </si>
  <si>
    <t>Net Income to Stockholders</t>
  </si>
  <si>
    <t>Preferred Dividends &amp; Other Adj.</t>
  </si>
  <si>
    <t>Net Income to Common Excl Extra Items</t>
  </si>
  <si>
    <t>Basic EPS (Cont. Ops)</t>
  </si>
  <si>
    <t>Diluted EPS (Cont. Ops)</t>
  </si>
  <si>
    <t>Weighted Average Basic Shares Out.</t>
  </si>
  <si>
    <t>Weighted Average Diluted Shares Out.</t>
  </si>
  <si>
    <t>EBITDA</t>
  </si>
  <si>
    <t>Revenue (Reported)</t>
  </si>
  <si>
    <t>Operating Income (Reported)</t>
  </si>
  <si>
    <t>Operating Income (Adjusted)</t>
  </si>
  <si>
    <t>Balance Sheet</t>
  </si>
  <si>
    <t>Cash And Equivalents</t>
  </si>
  <si>
    <t>Short Term Investments</t>
  </si>
  <si>
    <t>Accounts Receivable, Net</t>
  </si>
  <si>
    <t>Prepaid Expenses</t>
  </si>
  <si>
    <t>Other Current Assets</t>
  </si>
  <si>
    <t>Total Current Assets</t>
  </si>
  <si>
    <t>Property Plant And Equipment, Net</t>
  </si>
  <si>
    <t>Real Estate Owned</t>
  </si>
  <si>
    <t>Capitalized / Purchased Software</t>
  </si>
  <si>
    <t>Long-term Investments</t>
  </si>
  <si>
    <t>Goodwill</t>
  </si>
  <si>
    <t>Other Intangibles</t>
  </si>
  <si>
    <t>Other Long-term Assets</t>
  </si>
  <si>
    <t>Accounts Payable</t>
  </si>
  <si>
    <t>Accrued Expenses</t>
  </si>
  <si>
    <t>Short-term Borrowings</t>
  </si>
  <si>
    <t>Current Portion of LT Debt</t>
  </si>
  <si>
    <t>Current Portion of Capital Lease Obligations</t>
  </si>
  <si>
    <t>Other Current Liabilities</t>
  </si>
  <si>
    <t>Total Current Liabilities</t>
  </si>
  <si>
    <t>Long-term Debt</t>
  </si>
  <si>
    <t>Capital Leases</t>
  </si>
  <si>
    <t>Other Non-current Liabilities</t>
  </si>
  <si>
    <t>Common Stock</t>
  </si>
  <si>
    <t>Additional Paid In Capital</t>
  </si>
  <si>
    <t>Retained Earnings</t>
  </si>
  <si>
    <t>Treasury Stock</t>
  </si>
  <si>
    <t>Other Common Equity Adj</t>
  </si>
  <si>
    <t>Common Equity</t>
  </si>
  <si>
    <t>Total Preferred Equity</t>
  </si>
  <si>
    <t>Minority Interest, Total</t>
  </si>
  <si>
    <t>Other Equity</t>
  </si>
  <si>
    <t>Total Liabilities And Equity</t>
  </si>
  <si>
    <t>Cash And Short Term Investments</t>
  </si>
  <si>
    <t>Total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</si>
</sst>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#,##0_)_%;\(#,##0\)_%;_(&quot;–&quot;_)_%;_(@_)_%"/>
    <numFmt numFmtId="165" formatCode="_(#,##0.0%_);\(#,##0.0%\);_(&quot;–&quot;_)_%;_(@_)_%"/>
    <numFmt numFmtId="166" formatCode="_(#,##0.00_)_%;\(#,##0.00\)_%;_(&quot;–&quot;_)_%;_(@_)_%"/>
    <numFmt numFmtId="167" formatCode="_(#,##0.0_)_%;\(#,##0.0\)_%;_(&quot;–&quot;_)_%;_(@_)_%"/>
    <numFmt numFmtId="168" formatCode="_(#,##0.000_)_%;\(#,##0.000\)_%;_(&quot;–&quot;_)_%;_(@_)_%"/>
    <numFmt numFmtId="169" formatCode="_([$$]#,##0.00_)_%;\([$$]#,##0.00\)_%;_(&quot;–&quot;_)_%;_(@_)_%"/>
    <numFmt numFmtId="170" formatCode="_([$$]#,##0.0_)_%;\([$$]#,##0.0\)_%;_(&quot;–&quot;_)_%;_(@_)_%"/>
    <numFmt numFmtId="171" formatCode="_(#,##0.00%_);\(#,##0.00%\);_(&quot;–&quot;_)_%;_(@_)_%"/>
  </numFmts>
  <fonts count="22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i/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34343"/>
      <name val="Arial"/>
      <family val="2"/>
    </font>
    <font>
      <b/>
      <u/>
      <sz val="10"/>
      <color rgb="FF000000"/>
      <name val="Arial"/>
      <family val="2"/>
    </font>
    <font>
      <sz val="10"/>
      <color rgb="FF434343"/>
      <name val="Arial"/>
      <family val="2"/>
    </font>
    <font>
      <b/>
      <sz val="20"/>
      <color rgb="FF1551C3"/>
      <name val="Arial"/>
    </font>
    <font>
      <b/>
      <sz val="10"/>
      <color rgb="FF434343"/>
      <name val="Arial"/>
    </font>
    <font>
      <b/>
      <sz val="11"/>
      <color rgb="FF1551C3"/>
      <name val="Arial"/>
    </font>
    <font>
      <sz val="11"/>
      <name val="Arial"/>
    </font>
    <font>
      <sz val="10"/>
      <color rgb="FF434343"/>
      <name val="Arial"/>
    </font>
    <font>
      <sz val="10"/>
      <color rgb="FF000000"/>
      <name val="Arial"/>
    </font>
    <font>
      <sz val="12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rgb="FFF4CCCC"/>
        <bgColor rgb="FF000000"/>
      </patternFill>
    </fill>
    <fill>
      <patternFill patternType="solid">
        <fgColor rgb="FFC9DAF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21" fillId="0" borderId="0"/>
  </cellStyleXfs>
  <cellXfs count="82">
    <xf numFmtId="0" fontId="0" fillId="0" borderId="0" xfId="0"/>
    <xf numFmtId="164" fontId="1" fillId="0" borderId="0" xfId="0" applyNumberFormat="1" applyFont="1"/>
    <xf numFmtId="0" fontId="0" fillId="0" borderId="1" xfId="0" applyBorder="1"/>
    <xf numFmtId="164" fontId="0" fillId="0" borderId="1" xfId="0" applyNumberFormat="1" applyBorder="1"/>
    <xf numFmtId="0" fontId="3" fillId="0" borderId="0" xfId="0" applyFont="1"/>
    <xf numFmtId="165" fontId="0" fillId="0" borderId="0" xfId="0" applyNumberFormat="1"/>
    <xf numFmtId="0" fontId="6" fillId="0" borderId="0" xfId="1" applyFont="1"/>
    <xf numFmtId="164" fontId="7" fillId="0" borderId="0" xfId="1" applyNumberFormat="1" applyFont="1"/>
    <xf numFmtId="164" fontId="6" fillId="0" borderId="0" xfId="1" applyNumberFormat="1" applyFont="1"/>
    <xf numFmtId="166" fontId="6" fillId="0" borderId="0" xfId="1" applyNumberFormat="1" applyFont="1"/>
    <xf numFmtId="0" fontId="8" fillId="0" borderId="0" xfId="1" applyFont="1"/>
    <xf numFmtId="165" fontId="8" fillId="0" borderId="0" xfId="1" applyNumberFormat="1" applyFont="1"/>
    <xf numFmtId="165" fontId="6" fillId="0" borderId="0" xfId="1" applyNumberFormat="1" applyFont="1"/>
    <xf numFmtId="165" fontId="9" fillId="0" borderId="0" xfId="1" applyNumberFormat="1" applyFont="1"/>
    <xf numFmtId="0" fontId="2" fillId="0" borderId="0" xfId="1" applyFont="1"/>
    <xf numFmtId="165" fontId="2" fillId="0" borderId="0" xfId="1" applyNumberFormat="1" applyFont="1"/>
    <xf numFmtId="0" fontId="3" fillId="0" borderId="0" xfId="1" applyFont="1"/>
    <xf numFmtId="0" fontId="6" fillId="0" borderId="1" xfId="1" applyFont="1" applyBorder="1"/>
    <xf numFmtId="164" fontId="6" fillId="0" borderId="1" xfId="1" applyNumberFormat="1" applyFont="1" applyBorder="1"/>
    <xf numFmtId="0" fontId="0" fillId="0" borderId="0" xfId="0" applyAlignment="1">
      <alignment horizontal="center"/>
    </xf>
    <xf numFmtId="164" fontId="9" fillId="0" borderId="0" xfId="1" applyNumberFormat="1" applyFont="1"/>
    <xf numFmtId="164" fontId="6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165" fontId="6" fillId="0" borderId="0" xfId="1" applyNumberFormat="1" applyFont="1" applyAlignment="1">
      <alignment horizontal="right"/>
    </xf>
    <xf numFmtId="164" fontId="0" fillId="0" borderId="0" xfId="0" applyNumberFormat="1"/>
    <xf numFmtId="166" fontId="9" fillId="0" borderId="0" xfId="1" applyNumberFormat="1" applyFont="1"/>
    <xf numFmtId="167" fontId="5" fillId="0" borderId="0" xfId="1" applyNumberFormat="1" applyFont="1"/>
    <xf numFmtId="164" fontId="6" fillId="0" borderId="1" xfId="1" applyNumberFormat="1" applyFont="1" applyBorder="1" applyAlignment="1">
      <alignment horizontal="right"/>
    </xf>
    <xf numFmtId="168" fontId="7" fillId="0" borderId="0" xfId="1" applyNumberFormat="1" applyFont="1"/>
    <xf numFmtId="166" fontId="6" fillId="0" borderId="0" xfId="1" applyNumberFormat="1" applyFont="1" applyAlignment="1">
      <alignment horizontal="right"/>
    </xf>
    <xf numFmtId="165" fontId="5" fillId="0" borderId="0" xfId="0" applyNumberFormat="1" applyFont="1"/>
    <xf numFmtId="0" fontId="10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165" fontId="8" fillId="0" borderId="0" xfId="1" applyNumberFormat="1" applyFont="1" applyAlignment="1">
      <alignment horizontal="right"/>
    </xf>
    <xf numFmtId="164" fontId="5" fillId="0" borderId="0" xfId="1" applyNumberFormat="1" applyFont="1"/>
    <xf numFmtId="167" fontId="7" fillId="0" borderId="0" xfId="1" applyNumberFormat="1" applyFont="1"/>
    <xf numFmtId="169" fontId="9" fillId="0" borderId="0" xfId="1" applyNumberFormat="1" applyFont="1"/>
    <xf numFmtId="0" fontId="1" fillId="0" borderId="0" xfId="0" applyFont="1"/>
    <xf numFmtId="164" fontId="0" fillId="0" borderId="1" xfId="0" applyNumberFormat="1" applyBorder="1" applyAlignment="1">
      <alignment horizontal="right"/>
    </xf>
    <xf numFmtId="165" fontId="0" fillId="0" borderId="1" xfId="0" applyNumberFormat="1" applyBorder="1"/>
    <xf numFmtId="0" fontId="12" fillId="0" borderId="0" xfId="6" applyFont="1" applyAlignment="1">
      <alignment horizontal="left"/>
    </xf>
    <xf numFmtId="165" fontId="9" fillId="5" borderId="0" xfId="1" applyNumberFormat="1" applyFont="1" applyFill="1"/>
    <xf numFmtId="0" fontId="0" fillId="5" borderId="1" xfId="0" applyFill="1" applyBorder="1"/>
    <xf numFmtId="164" fontId="1" fillId="5" borderId="1" xfId="0" applyNumberFormat="1" applyFont="1" applyFill="1" applyBorder="1"/>
    <xf numFmtId="165" fontId="4" fillId="5" borderId="1" xfId="0" applyNumberFormat="1" applyFont="1" applyFill="1" applyBorder="1"/>
    <xf numFmtId="0" fontId="0" fillId="5" borderId="0" xfId="0" applyFill="1"/>
    <xf numFmtId="164" fontId="1" fillId="5" borderId="0" xfId="0" applyNumberFormat="1" applyFont="1" applyFill="1"/>
    <xf numFmtId="165" fontId="1" fillId="5" borderId="0" xfId="0" applyNumberFormat="1" applyFont="1" applyFill="1"/>
    <xf numFmtId="165" fontId="6" fillId="4" borderId="0" xfId="1" applyNumberFormat="1" applyFont="1" applyFill="1"/>
    <xf numFmtId="0" fontId="13" fillId="0" borderId="0" xfId="1" applyFont="1"/>
    <xf numFmtId="167" fontId="6" fillId="0" borderId="0" xfId="1" applyNumberFormat="1" applyFont="1"/>
    <xf numFmtId="165" fontId="6" fillId="0" borderId="0" xfId="1" applyNumberFormat="1" applyFont="1" applyAlignment="1">
      <alignment vertical="center"/>
    </xf>
    <xf numFmtId="0" fontId="14" fillId="0" borderId="0" xfId="0" applyFont="1" applyAlignment="1">
      <alignment horizontal="left"/>
    </xf>
    <xf numFmtId="0" fontId="1" fillId="4" borderId="0" xfId="0" applyFont="1" applyFill="1"/>
    <xf numFmtId="166" fontId="6" fillId="4" borderId="0" xfId="1" applyNumberFormat="1" applyFont="1" applyFill="1"/>
    <xf numFmtId="165" fontId="8" fillId="4" borderId="0" xfId="1" applyNumberFormat="1" applyFont="1" applyFill="1"/>
    <xf numFmtId="165" fontId="2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12" fillId="0" borderId="0" xfId="6" applyFont="1" applyAlignment="1">
      <alignment horizontal="center"/>
    </xf>
    <xf numFmtId="164" fontId="6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/>
    </xf>
    <xf numFmtId="165" fontId="6" fillId="0" borderId="0" xfId="1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/>
    </xf>
    <xf numFmtId="164" fontId="6" fillId="6" borderId="0" xfId="1" applyNumberFormat="1" applyFont="1" applyFill="1" applyAlignment="1">
      <alignment horizontal="right"/>
    </xf>
    <xf numFmtId="170" fontId="4" fillId="0" borderId="0" xfId="0" applyNumberFormat="1" applyFont="1"/>
    <xf numFmtId="0" fontId="16" fillId="0" borderId="0" xfId="0" applyFont="1"/>
    <xf numFmtId="0" fontId="18" fillId="2" borderId="0" xfId="0" applyFont="1" applyFill="1"/>
    <xf numFmtId="0" fontId="19" fillId="0" borderId="0" xfId="0" applyFont="1" applyAlignment="1">
      <alignment horizontal="left"/>
    </xf>
    <xf numFmtId="0" fontId="20" fillId="0" borderId="0" xfId="7"/>
    <xf numFmtId="0" fontId="18" fillId="2" borderId="0" xfId="7" applyFont="1" applyFill="1"/>
    <xf numFmtId="0" fontId="16" fillId="0" borderId="0" xfId="7" applyFont="1"/>
    <xf numFmtId="0" fontId="19" fillId="0" borderId="0" xfId="7" applyFont="1" applyAlignment="1">
      <alignment horizontal="left"/>
    </xf>
    <xf numFmtId="168" fontId="6" fillId="0" borderId="0" xfId="1" applyNumberFormat="1" applyFont="1"/>
    <xf numFmtId="166" fontId="4" fillId="0" borderId="0" xfId="0" applyNumberFormat="1" applyFont="1" applyAlignment="1">
      <alignment horizontal="right"/>
    </xf>
    <xf numFmtId="171" fontId="6" fillId="0" borderId="0" xfId="1" applyNumberFormat="1" applyFont="1" applyAlignment="1">
      <alignment horizontal="center"/>
    </xf>
    <xf numFmtId="0" fontId="21" fillId="0" borderId="0" xfId="8"/>
    <xf numFmtId="0" fontId="15" fillId="0" borderId="0" xfId="7" applyFont="1" applyAlignment="1">
      <alignment horizontal="left"/>
    </xf>
    <xf numFmtId="0" fontId="0" fillId="0" borderId="0" xfId="0"/>
    <xf numFmtId="0" fontId="17" fillId="2" borderId="0" xfId="7" applyFont="1" applyFill="1"/>
    <xf numFmtId="0" fontId="15" fillId="0" borderId="0" xfId="0" applyFont="1" applyAlignment="1">
      <alignment horizontal="left"/>
    </xf>
    <xf numFmtId="0" fontId="17" fillId="2" borderId="0" xfId="0" applyFont="1" applyFill="1"/>
  </cellXfs>
  <cellStyles count="9">
    <cellStyle name="Hyperlink" xfId="8" builtinId="8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NCAV/Share Burn, YoY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ncav!$AC$36:$AK$36</c:f>
              <c:numCache>
                <c:formatCode>_(#,##0.0%_);\(#,##0.0%\);_("–"_)_%;_(@_)_%</c:formatCode>
                <c:ptCount val="9"/>
                <c:pt idx="0">
                  <c:v>-0.27868852459016413</c:v>
                </c:pt>
                <c:pt idx="1">
                  <c:v>-4.4444444444444398E-2</c:v>
                </c:pt>
                <c:pt idx="2">
                  <c:v>-4.4444444444444398E-2</c:v>
                </c:pt>
                <c:pt idx="3">
                  <c:v>0.20454545454545481</c:v>
                </c:pt>
                <c:pt idx="4">
                  <c:v>0.20454545454545481</c:v>
                </c:pt>
                <c:pt idx="5">
                  <c:v>0.58139534883720967</c:v>
                </c:pt>
                <c:pt idx="6">
                  <c:v>0.58139534883720967</c:v>
                </c:pt>
                <c:pt idx="7">
                  <c:v>0.5471698113207546</c:v>
                </c:pt>
                <c:pt idx="8">
                  <c:v>0.5471698113207546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5-45C6-91B2-D273706F9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082600"/>
        <c:axId val="672071800"/>
      </c:barChart>
      <c:catAx>
        <c:axId val="67208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71800"/>
        <c:crosses val="autoZero"/>
        <c:auto val="1"/>
        <c:lblAlgn val="ctr"/>
        <c:lblOffset val="100"/>
        <c:noMultiLvlLbl val="0"/>
      </c:catAx>
      <c:valAx>
        <c:axId val="6720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8260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Ratio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ncav!$D$1:$R$1</c:f>
              <c:strCache>
                <c:ptCount val="15"/>
                <c:pt idx="0">
                  <c:v>2017-03-31</c:v>
                </c:pt>
                <c:pt idx="1">
                  <c:v>2017-06-30</c:v>
                </c:pt>
                <c:pt idx="2">
                  <c:v>2017-09-30</c:v>
                </c:pt>
                <c:pt idx="3">
                  <c:v>2017-12-31</c:v>
                </c:pt>
                <c:pt idx="4">
                  <c:v>2018-03-31</c:v>
                </c:pt>
                <c:pt idx="5">
                  <c:v>2018-06-30</c:v>
                </c:pt>
                <c:pt idx="6">
                  <c:v>2018-09-30</c:v>
                </c:pt>
                <c:pt idx="7">
                  <c:v>2018-12-31</c:v>
                </c:pt>
                <c:pt idx="8">
                  <c:v>2019-03-31</c:v>
                </c:pt>
                <c:pt idx="9">
                  <c:v>2019-06-30</c:v>
                </c:pt>
                <c:pt idx="10">
                  <c:v>2019-09-30</c:v>
                </c:pt>
                <c:pt idx="11">
                  <c:v>2019-12-31</c:v>
                </c:pt>
                <c:pt idx="12">
                  <c:v>2020-03-31</c:v>
                </c:pt>
                <c:pt idx="13">
                  <c:v>2020-06-30</c:v>
                </c:pt>
                <c:pt idx="14">
                  <c:v>2020-09-30</c:v>
                </c:pt>
              </c:strCache>
            </c:strRef>
          </c:cat>
          <c:val>
            <c:numRef>
              <c:f>ncav!$D$26:$R$26</c:f>
              <c:numCache>
                <c:formatCode>_(#,##0.00_)_%;\(#,##0.00\)_%;_("–"_)_%;_(@_)_%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1.3333333333333333</c:v>
                </c:pt>
                <c:pt idx="3">
                  <c:v>1.3333333333333333</c:v>
                </c:pt>
                <c:pt idx="4">
                  <c:v>1.7500000000000002</c:v>
                </c:pt>
                <c:pt idx="5">
                  <c:v>1.7500000000000002</c:v>
                </c:pt>
                <c:pt idx="6">
                  <c:v>2.0476190476190474</c:v>
                </c:pt>
                <c:pt idx="7">
                  <c:v>2.0476190476190474</c:v>
                </c:pt>
                <c:pt idx="8">
                  <c:v>5.1764705882352944</c:v>
                </c:pt>
                <c:pt idx="9">
                  <c:v>5.1764705882352944</c:v>
                </c:pt>
                <c:pt idx="10">
                  <c:v>3.4814814814814814</c:v>
                </c:pt>
                <c:pt idx="11">
                  <c:v>3.4814814814814814</c:v>
                </c:pt>
                <c:pt idx="12">
                  <c:v>3.333333333333333</c:v>
                </c:pt>
                <c:pt idx="13">
                  <c:v>3.333333333333333</c:v>
                </c:pt>
                <c:pt idx="14">
                  <c:v>3.2962962962962963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8F-4C55-BC82-B03B8BE74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427888"/>
        <c:axId val="664425728"/>
      </c:lineChart>
      <c:catAx>
        <c:axId val="66442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25728"/>
        <c:crosses val="autoZero"/>
        <c:auto val="1"/>
        <c:lblAlgn val="ctr"/>
        <c:lblOffset val="100"/>
        <c:noMultiLvlLbl val="0"/>
      </c:catAx>
      <c:valAx>
        <c:axId val="66442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0_)_%;\(#,##0.00\)_%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427888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Ratio, 4 per MA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ncav!$D$1:$R$1</c:f>
              <c:strCache>
                <c:ptCount val="15"/>
                <c:pt idx="0">
                  <c:v>2017-03-31</c:v>
                </c:pt>
                <c:pt idx="1">
                  <c:v>2017-06-30</c:v>
                </c:pt>
                <c:pt idx="2">
                  <c:v>2017-09-30</c:v>
                </c:pt>
                <c:pt idx="3">
                  <c:v>2017-12-31</c:v>
                </c:pt>
                <c:pt idx="4">
                  <c:v>2018-03-31</c:v>
                </c:pt>
                <c:pt idx="5">
                  <c:v>2018-06-30</c:v>
                </c:pt>
                <c:pt idx="6">
                  <c:v>2018-09-30</c:v>
                </c:pt>
                <c:pt idx="7">
                  <c:v>2018-12-31</c:v>
                </c:pt>
                <c:pt idx="8">
                  <c:v>2019-03-31</c:v>
                </c:pt>
                <c:pt idx="9">
                  <c:v>2019-06-30</c:v>
                </c:pt>
                <c:pt idx="10">
                  <c:v>2019-09-30</c:v>
                </c:pt>
                <c:pt idx="11">
                  <c:v>2019-12-31</c:v>
                </c:pt>
                <c:pt idx="12">
                  <c:v>2020-03-31</c:v>
                </c:pt>
                <c:pt idx="13">
                  <c:v>2020-06-30</c:v>
                </c:pt>
                <c:pt idx="14">
                  <c:v>2020-09-30</c:v>
                </c:pt>
              </c:strCache>
            </c:strRef>
          </c:cat>
          <c:val>
            <c:numRef>
              <c:f>ncav!$D$27:$R$27</c:f>
              <c:numCache>
                <c:formatCode>_(#,##0.00_)_%;\(#,##0.00\)_%;_("–"_)_%;_(@_)_%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1.5416666666666667</c:v>
                </c:pt>
                <c:pt idx="6">
                  <c:v>1.7202380952380953</c:v>
                </c:pt>
                <c:pt idx="7">
                  <c:v>1.8988095238095237</c:v>
                </c:pt>
                <c:pt idx="8">
                  <c:v>2.7554271708683471</c:v>
                </c:pt>
                <c:pt idx="9">
                  <c:v>3.6120448179271705</c:v>
                </c:pt>
                <c:pt idx="10">
                  <c:v>3.9705104263927793</c:v>
                </c:pt>
                <c:pt idx="11">
                  <c:v>4.3289760348583881</c:v>
                </c:pt>
                <c:pt idx="12">
                  <c:v>3.8681917211328978</c:v>
                </c:pt>
                <c:pt idx="13">
                  <c:v>3.4074074074074074</c:v>
                </c:pt>
                <c:pt idx="14">
                  <c:v>3.3611111111111112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4-4493-BF8B-52EB91DDB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435104"/>
        <c:axId val="732433664"/>
      </c:lineChart>
      <c:catAx>
        <c:axId val="73243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33664"/>
        <c:crosses val="autoZero"/>
        <c:auto val="1"/>
        <c:lblAlgn val="ctr"/>
        <c:lblOffset val="100"/>
        <c:noMultiLvlLbl val="0"/>
      </c:catAx>
      <c:valAx>
        <c:axId val="73243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0_)_%;\(#,##0.00\)_%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43510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NCAV/Share Burn, YoY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ncav!$AC$35:$AK$35</c:f>
              <c:numCache>
                <c:formatCode>_(#,##0.0%_);\(#,##0.0%\);_("–"_)_%;_(@_)_%</c:formatCode>
                <c:ptCount val="9"/>
                <c:pt idx="0">
                  <c:v>0</c:v>
                </c:pt>
                <c:pt idx="1">
                  <c:v>-2.2727272727272818E-2</c:v>
                </c:pt>
                <c:pt idx="2">
                  <c:v>0</c:v>
                </c:pt>
                <c:pt idx="3">
                  <c:v>0.23255813953488413</c:v>
                </c:pt>
                <c:pt idx="4">
                  <c:v>0</c:v>
                </c:pt>
                <c:pt idx="5">
                  <c:v>0.28301886792452824</c:v>
                </c:pt>
                <c:pt idx="6">
                  <c:v>0</c:v>
                </c:pt>
                <c:pt idx="7">
                  <c:v>0.20588235294117641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E-4E82-B79D-B374E4FAD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082600"/>
        <c:axId val="672071800"/>
      </c:barChart>
      <c:catAx>
        <c:axId val="67208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71800"/>
        <c:crosses val="autoZero"/>
        <c:auto val="1"/>
        <c:lblAlgn val="ctr"/>
        <c:lblOffset val="100"/>
        <c:noMultiLvlLbl val="0"/>
      </c:catAx>
      <c:valAx>
        <c:axId val="67207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8260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Margin 4 period MA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profitability!$G$1:$V$1</c:f>
              <c:strCache>
                <c:ptCount val="16"/>
                <c:pt idx="0">
                  <c:v>2018-03-31</c:v>
                </c:pt>
                <c:pt idx="1">
                  <c:v>2018-06-30</c:v>
                </c:pt>
                <c:pt idx="2">
                  <c:v>2018-09-30</c:v>
                </c:pt>
                <c:pt idx="3">
                  <c:v>2018-12-31</c:v>
                </c:pt>
                <c:pt idx="4">
                  <c:v>2019-03-31</c:v>
                </c:pt>
                <c:pt idx="5">
                  <c:v>2019-06-30</c:v>
                </c:pt>
                <c:pt idx="6">
                  <c:v>2019-09-30</c:v>
                </c:pt>
                <c:pt idx="7">
                  <c:v>2019-12-31</c:v>
                </c:pt>
                <c:pt idx="8">
                  <c:v>2020-03-31</c:v>
                </c:pt>
                <c:pt idx="9">
                  <c:v>2020-06-30</c:v>
                </c:pt>
                <c:pt idx="10">
                  <c:v>2020-09-30</c:v>
                </c:pt>
                <c:pt idx="11">
                  <c:v>2020-12-31</c:v>
                </c:pt>
                <c:pt idx="12">
                  <c:v>2021-03-31</c:v>
                </c:pt>
                <c:pt idx="13">
                  <c:v>2021-06-30</c:v>
                </c:pt>
                <c:pt idx="14">
                  <c:v>2021-09-30</c:v>
                </c:pt>
                <c:pt idx="15">
                  <c:v>2021-12-31</c:v>
                </c:pt>
              </c:strCache>
            </c:strRef>
          </c:cat>
          <c:val>
            <c:numRef>
              <c:f>profitability!$G$8:$V$8</c:f>
              <c:numCache>
                <c:formatCode>_(#,##0.0%_);\(#,##0.0%\);_("–"_)_%;_(@_)_%</c:formatCode>
                <c:ptCount val="16"/>
                <c:pt idx="0">
                  <c:v>0.7004551820728292</c:v>
                </c:pt>
                <c:pt idx="1">
                  <c:v>0.71638655462184875</c:v>
                </c:pt>
                <c:pt idx="2">
                  <c:v>0.72308298319327735</c:v>
                </c:pt>
                <c:pt idx="3">
                  <c:v>0.72977941176470584</c:v>
                </c:pt>
                <c:pt idx="4">
                  <c:v>0.75222523219814241</c:v>
                </c:pt>
                <c:pt idx="5">
                  <c:v>0.77467105263157898</c:v>
                </c:pt>
                <c:pt idx="6">
                  <c:v>0.75904605263157898</c:v>
                </c:pt>
                <c:pt idx="7">
                  <c:v>0.74342105263157898</c:v>
                </c:pt>
                <c:pt idx="8">
                  <c:v>0.75365497076023391</c:v>
                </c:pt>
                <c:pt idx="9">
                  <c:v>0.76388888888888884</c:v>
                </c:pt>
                <c:pt idx="10">
                  <c:v>0.74305555555555558</c:v>
                </c:pt>
                <c:pt idx="11">
                  <c:v>0.72222222222222232</c:v>
                </c:pt>
                <c:pt idx="12">
                  <c:v>0.72008547008547008</c:v>
                </c:pt>
                <c:pt idx="13">
                  <c:v>0.71794871794871795</c:v>
                </c:pt>
                <c:pt idx="14">
                  <c:v>0.72435897435897445</c:v>
                </c:pt>
                <c:pt idx="15">
                  <c:v>0.73076923076923084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F-4ECB-A58E-2A47229F3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692696"/>
        <c:axId val="1194695216"/>
      </c:barChart>
      <c:catAx>
        <c:axId val="119469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95216"/>
        <c:crosses val="autoZero"/>
        <c:auto val="1"/>
        <c:lblAlgn val="ctr"/>
        <c:lblOffset val="100"/>
        <c:noMultiLvlLbl val="0"/>
      </c:catAx>
      <c:valAx>
        <c:axId val="11946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9269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YoY%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profitability!$G$1:$V$1</c:f>
              <c:strCache>
                <c:ptCount val="16"/>
                <c:pt idx="0">
                  <c:v>2018-03-31</c:v>
                </c:pt>
                <c:pt idx="1">
                  <c:v>2018-06-30</c:v>
                </c:pt>
                <c:pt idx="2">
                  <c:v>2018-09-30</c:v>
                </c:pt>
                <c:pt idx="3">
                  <c:v>2018-12-31</c:v>
                </c:pt>
                <c:pt idx="4">
                  <c:v>2019-03-31</c:v>
                </c:pt>
                <c:pt idx="5">
                  <c:v>2019-06-30</c:v>
                </c:pt>
                <c:pt idx="6">
                  <c:v>2019-09-30</c:v>
                </c:pt>
                <c:pt idx="7">
                  <c:v>2019-12-31</c:v>
                </c:pt>
                <c:pt idx="8">
                  <c:v>2020-03-31</c:v>
                </c:pt>
                <c:pt idx="9">
                  <c:v>2020-06-30</c:v>
                </c:pt>
                <c:pt idx="10">
                  <c:v>2020-09-30</c:v>
                </c:pt>
                <c:pt idx="11">
                  <c:v>2020-12-31</c:v>
                </c:pt>
                <c:pt idx="12">
                  <c:v>2021-03-31</c:v>
                </c:pt>
                <c:pt idx="13">
                  <c:v>2021-06-30</c:v>
                </c:pt>
                <c:pt idx="14">
                  <c:v>2021-09-30</c:v>
                </c:pt>
                <c:pt idx="15">
                  <c:v>2021-12-31</c:v>
                </c:pt>
              </c:strCache>
            </c:strRef>
          </c:cat>
          <c:val>
            <c:numRef>
              <c:f>profitability!$G$4:$V$4</c:f>
              <c:numCache>
                <c:formatCode>_(#,##0.0%_);\(#,##0.0%\);_("–"_)_%;_(@_)_%</c:formatCode>
                <c:ptCount val="16"/>
                <c:pt idx="0">
                  <c:v>0.41666666666666674</c:v>
                </c:pt>
                <c:pt idx="1">
                  <c:v>0.41666666666666674</c:v>
                </c:pt>
                <c:pt idx="2">
                  <c:v>0.14285714285714302</c:v>
                </c:pt>
                <c:pt idx="3">
                  <c:v>0.14285714285714302</c:v>
                </c:pt>
                <c:pt idx="4">
                  <c:v>0.11764705882352944</c:v>
                </c:pt>
                <c:pt idx="5">
                  <c:v>0.11764705882352944</c:v>
                </c:pt>
                <c:pt idx="6">
                  <c:v>0.25</c:v>
                </c:pt>
                <c:pt idx="7">
                  <c:v>0.25</c:v>
                </c:pt>
                <c:pt idx="8">
                  <c:v>-0.52631578947368418</c:v>
                </c:pt>
                <c:pt idx="9">
                  <c:v>-0.52631578947368418</c:v>
                </c:pt>
                <c:pt idx="10">
                  <c:v>-0.4</c:v>
                </c:pt>
                <c:pt idx="11">
                  <c:v>-0.4</c:v>
                </c:pt>
                <c:pt idx="12">
                  <c:v>0.44444444444444442</c:v>
                </c:pt>
                <c:pt idx="13">
                  <c:v>0.44444444444444442</c:v>
                </c:pt>
                <c:pt idx="14">
                  <c:v>8.3333333333333481E-2</c:v>
                </c:pt>
                <c:pt idx="15">
                  <c:v>8.3333333333333481E-2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3-4FD7-A1F3-382157804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692696"/>
        <c:axId val="1194695216"/>
      </c:barChart>
      <c:catAx>
        <c:axId val="119469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95216"/>
        <c:crosses val="autoZero"/>
        <c:auto val="1"/>
        <c:lblAlgn val="ctr"/>
        <c:lblOffset val="100"/>
        <c:noMultiLvlLbl val="0"/>
      </c:catAx>
      <c:valAx>
        <c:axId val="119469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69269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 Anualized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ro!$A$20</c:f>
              <c:strCache>
                <c:ptCount val="1"/>
                <c:pt idx="0">
                  <c:v>ROA (EBIT)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ro!$H$1:$U$1</c:f>
              <c:strCache>
                <c:ptCount val="14"/>
                <c:pt idx="0">
                  <c:v>2018-06-30</c:v>
                </c:pt>
                <c:pt idx="1">
                  <c:v>2018-09-30</c:v>
                </c:pt>
                <c:pt idx="2">
                  <c:v>2018-12-31</c:v>
                </c:pt>
                <c:pt idx="3">
                  <c:v>2019-03-31</c:v>
                </c:pt>
                <c:pt idx="4">
                  <c:v>2019-06-30</c:v>
                </c:pt>
                <c:pt idx="5">
                  <c:v>2019-09-30</c:v>
                </c:pt>
                <c:pt idx="6">
                  <c:v>2019-12-31</c:v>
                </c:pt>
                <c:pt idx="7">
                  <c:v>2020-03-31</c:v>
                </c:pt>
                <c:pt idx="8">
                  <c:v>2020-06-30</c:v>
                </c:pt>
                <c:pt idx="9">
                  <c:v>2020-09-30</c:v>
                </c:pt>
                <c:pt idx="10">
                  <c:v>2020-12-31</c:v>
                </c:pt>
                <c:pt idx="11">
                  <c:v>2021-03-31</c:v>
                </c:pt>
                <c:pt idx="12">
                  <c:v>2021-06-30</c:v>
                </c:pt>
                <c:pt idx="13">
                  <c:v>2021-09-30</c:v>
                </c:pt>
              </c:strCache>
            </c:strRef>
          </c:cat>
          <c:val>
            <c:numRef>
              <c:f>ro!$W$20:$AJ$20</c:f>
              <c:numCache>
                <c:formatCode>_(#,##0.0%_);\(#,##0.0%\);_("–"_)_%;_(@_)_%</c:formatCode>
                <c:ptCount val="14"/>
                <c:pt idx="0">
                  <c:v>3.4782608695652174E-2</c:v>
                </c:pt>
                <c:pt idx="1">
                  <c:v>3.4782608695652174E-2</c:v>
                </c:pt>
                <c:pt idx="2">
                  <c:v>4.9586776859504134E-2</c:v>
                </c:pt>
                <c:pt idx="3">
                  <c:v>4.8000000000000001E-2</c:v>
                </c:pt>
                <c:pt idx="4">
                  <c:v>3.1319910514541388E-2</c:v>
                </c:pt>
                <c:pt idx="5">
                  <c:v>3.0828516377649325E-2</c:v>
                </c:pt>
                <c:pt idx="6">
                  <c:v>1.5138772077375946E-2</c:v>
                </c:pt>
                <c:pt idx="7">
                  <c:v>1.4925373134328358E-2</c:v>
                </c:pt>
                <c:pt idx="8">
                  <c:v>2.960969044414536E-2</c:v>
                </c:pt>
                <c:pt idx="9">
                  <c:v>2.9411764705882356E-2</c:v>
                </c:pt>
                <c:pt idx="10">
                  <c:v>4.3993231810490696E-2</c:v>
                </c:pt>
                <c:pt idx="11">
                  <c:v>4.3887147335423204E-2</c:v>
                </c:pt>
                <c:pt idx="12" formatCode="_(#,##0.00%_);\(#,##0.00%\);_(&quot;–&quot;_)_%;_(@_)_%">
                  <c:v>2.9197080291970809E-2</c:v>
                </c:pt>
                <c:pt idx="13" formatCode="_(#,##0.00%_);\(#,##0.00%\);_(&quot;–&quot;_)_%;_(@_)_%">
                  <c:v>2.914389799635702E-2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E-49FA-8396-BFE028405635}"/>
            </c:ext>
          </c:extLst>
        </c:ser>
        <c:ser>
          <c:idx val="1"/>
          <c:order val="1"/>
          <c:tx>
            <c:strRef>
              <c:f>ro!$A$21</c:f>
              <c:strCache>
                <c:ptCount val="1"/>
                <c:pt idx="0">
                  <c:v>ROA (NI)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ro!$H$1:$U$1</c:f>
              <c:strCache>
                <c:ptCount val="14"/>
                <c:pt idx="0">
                  <c:v>2018-06-30</c:v>
                </c:pt>
                <c:pt idx="1">
                  <c:v>2018-09-30</c:v>
                </c:pt>
                <c:pt idx="2">
                  <c:v>2018-12-31</c:v>
                </c:pt>
                <c:pt idx="3">
                  <c:v>2019-03-31</c:v>
                </c:pt>
                <c:pt idx="4">
                  <c:v>2019-06-30</c:v>
                </c:pt>
                <c:pt idx="5">
                  <c:v>2019-09-30</c:v>
                </c:pt>
                <c:pt idx="6">
                  <c:v>2019-12-31</c:v>
                </c:pt>
                <c:pt idx="7">
                  <c:v>2020-03-31</c:v>
                </c:pt>
                <c:pt idx="8">
                  <c:v>2020-06-30</c:v>
                </c:pt>
                <c:pt idx="9">
                  <c:v>2020-09-30</c:v>
                </c:pt>
                <c:pt idx="10">
                  <c:v>2020-12-31</c:v>
                </c:pt>
                <c:pt idx="11">
                  <c:v>2021-03-31</c:v>
                </c:pt>
                <c:pt idx="12">
                  <c:v>2021-06-30</c:v>
                </c:pt>
                <c:pt idx="13">
                  <c:v>2021-09-30</c:v>
                </c:pt>
              </c:strCache>
            </c:strRef>
          </c:cat>
          <c:val>
            <c:numRef>
              <c:f>ro!$W$21:$AJ$21</c:f>
              <c:numCache>
                <c:formatCode>_(#,##0.0%_);\(#,##0.0%\);_("–"_)_%;_(@_)_%</c:formatCode>
                <c:ptCount val="14"/>
                <c:pt idx="0">
                  <c:v>3.4782608695652174E-2</c:v>
                </c:pt>
                <c:pt idx="1">
                  <c:v>3.4782608695652174E-2</c:v>
                </c:pt>
                <c:pt idx="2">
                  <c:v>4.9586776859504134E-2</c:v>
                </c:pt>
                <c:pt idx="3">
                  <c:v>4.8000000000000001E-2</c:v>
                </c:pt>
                <c:pt idx="4">
                  <c:v>1.5659955257270694E-2</c:v>
                </c:pt>
                <c:pt idx="5">
                  <c:v>1.5414258188824663E-2</c:v>
                </c:pt>
                <c:pt idx="6">
                  <c:v>1.5138772077375946E-2</c:v>
                </c:pt>
                <c:pt idx="7">
                  <c:v>1.4925373134328358E-2</c:v>
                </c:pt>
                <c:pt idx="8">
                  <c:v>1.480484522207268E-2</c:v>
                </c:pt>
                <c:pt idx="9">
                  <c:v>1.4705882352941178E-2</c:v>
                </c:pt>
                <c:pt idx="10">
                  <c:v>4.3993231810490696E-2</c:v>
                </c:pt>
                <c:pt idx="11">
                  <c:v>4.3887147335423204E-2</c:v>
                </c:pt>
                <c:pt idx="12" formatCode="_(#,##0.00%_);\(#,##0.00%\);_(&quot;–&quot;_)_%;_(@_)_%">
                  <c:v>2.9197080291970809E-2</c:v>
                </c:pt>
                <c:pt idx="13" formatCode="_(#,##0.00%_);\(#,##0.00%\);_(&quot;–&quot;_)_%;_(@_)_%">
                  <c:v>2.914389799635702E-2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E-49FA-8396-BFE028405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391528"/>
        <c:axId val="664391888"/>
      </c:barChart>
      <c:catAx>
        <c:axId val="66439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91888"/>
        <c:crosses val="autoZero"/>
        <c:auto val="1"/>
        <c:lblAlgn val="ctr"/>
        <c:lblOffset val="100"/>
        <c:noMultiLvlLbl val="0"/>
      </c:catAx>
      <c:valAx>
        <c:axId val="6643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915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 TTM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ro!$A$27</c:f>
              <c:strCache>
                <c:ptCount val="1"/>
                <c:pt idx="0">
                  <c:v>ROA (EBIT)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ro!$H$1:$U$1</c:f>
              <c:strCache>
                <c:ptCount val="14"/>
                <c:pt idx="0">
                  <c:v>2018-06-30</c:v>
                </c:pt>
                <c:pt idx="1">
                  <c:v>2018-09-30</c:v>
                </c:pt>
                <c:pt idx="2">
                  <c:v>2018-12-31</c:v>
                </c:pt>
                <c:pt idx="3">
                  <c:v>2019-03-31</c:v>
                </c:pt>
                <c:pt idx="4">
                  <c:v>2019-06-30</c:v>
                </c:pt>
                <c:pt idx="5">
                  <c:v>2019-09-30</c:v>
                </c:pt>
                <c:pt idx="6">
                  <c:v>2019-12-31</c:v>
                </c:pt>
                <c:pt idx="7">
                  <c:v>2020-03-31</c:v>
                </c:pt>
                <c:pt idx="8">
                  <c:v>2020-06-30</c:v>
                </c:pt>
                <c:pt idx="9">
                  <c:v>2020-09-30</c:v>
                </c:pt>
                <c:pt idx="10">
                  <c:v>2020-12-31</c:v>
                </c:pt>
                <c:pt idx="11">
                  <c:v>2021-03-31</c:v>
                </c:pt>
                <c:pt idx="12">
                  <c:v>2021-06-30</c:v>
                </c:pt>
                <c:pt idx="13">
                  <c:v>2021-09-30</c:v>
                </c:pt>
              </c:strCache>
            </c:strRef>
          </c:cat>
          <c:val>
            <c:numRef>
              <c:f>ro!$K$27:$AJ$27</c:f>
              <c:numCache>
                <c:formatCode>_(#,##0.0%_);\(#,##0.0%\);_("–"_)_%;_(@_)_%</c:formatCode>
                <c:ptCount val="26"/>
                <c:pt idx="0">
                  <c:v>1.1235955056179775E-2</c:v>
                </c:pt>
                <c:pt idx="1">
                  <c:v>4.49438202247191E-2</c:v>
                </c:pt>
                <c:pt idx="2">
                  <c:v>2.4193548387096777E-2</c:v>
                </c:pt>
                <c:pt idx="3">
                  <c:v>1.6129032258064516E-2</c:v>
                </c:pt>
                <c:pt idx="4">
                  <c:v>-1.6194331983805665E-2</c:v>
                </c:pt>
                <c:pt idx="5">
                  <c:v>-4.8582995951416998E-2</c:v>
                </c:pt>
                <c:pt idx="6">
                  <c:v>-9.0909090909090912E-2</c:v>
                </c:pt>
                <c:pt idx="7">
                  <c:v>-0.12727272727272726</c:v>
                </c:pt>
                <c:pt idx="8">
                  <c:v>-5.4054054054054057E-2</c:v>
                </c:pt>
                <c:pt idx="9">
                  <c:v>1.8018018018018018E-2</c:v>
                </c:pt>
                <c:pt idx="10">
                  <c:v>-8.5106382978723406E-3</c:v>
                </c:pt>
                <c:pt idx="11">
                  <c:v>-3.4042553191489362E-2</c:v>
                </c:pt>
                <c:pt idx="12">
                  <c:v>0</c:v>
                </c:pt>
                <c:pt idx="13">
                  <c:v>3.4782608695652174E-2</c:v>
                </c:pt>
                <c:pt idx="14">
                  <c:v>3.8461538461538464E-2</c:v>
                </c:pt>
                <c:pt idx="15">
                  <c:v>4.6153846153846149E-2</c:v>
                </c:pt>
                <c:pt idx="16">
                  <c:v>3.4602076124567477E-2</c:v>
                </c:pt>
                <c:pt idx="17">
                  <c:v>2.7681660899653984E-2</c:v>
                </c:pt>
                <c:pt idx="18">
                  <c:v>2.033898305084746E-2</c:v>
                </c:pt>
                <c:pt idx="19">
                  <c:v>1.3559322033898306E-2</c:v>
                </c:pt>
                <c:pt idx="20">
                  <c:v>2.0202020202020207E-2</c:v>
                </c:pt>
                <c:pt idx="21">
                  <c:v>2.6936026936026938E-2</c:v>
                </c:pt>
                <c:pt idx="22">
                  <c:v>3.484320557491289E-2</c:v>
                </c:pt>
                <c:pt idx="23">
                  <c:v>4.1811846689895467E-2</c:v>
                </c:pt>
                <c:pt idx="24">
                  <c:v>3.5460992907801421E-2</c:v>
                </c:pt>
                <c:pt idx="25">
                  <c:v>2.8368794326241138E-2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5-4591-AFA3-45754A7C511B}"/>
            </c:ext>
          </c:extLst>
        </c:ser>
        <c:ser>
          <c:idx val="1"/>
          <c:order val="1"/>
          <c:tx>
            <c:strRef>
              <c:f>ro!$A$28</c:f>
              <c:strCache>
                <c:ptCount val="1"/>
                <c:pt idx="0">
                  <c:v>ROA (NI)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ro!$H$1:$U$1</c:f>
              <c:strCache>
                <c:ptCount val="14"/>
                <c:pt idx="0">
                  <c:v>2018-06-30</c:v>
                </c:pt>
                <c:pt idx="1">
                  <c:v>2018-09-30</c:v>
                </c:pt>
                <c:pt idx="2">
                  <c:v>2018-12-31</c:v>
                </c:pt>
                <c:pt idx="3">
                  <c:v>2019-03-31</c:v>
                </c:pt>
                <c:pt idx="4">
                  <c:v>2019-06-30</c:v>
                </c:pt>
                <c:pt idx="5">
                  <c:v>2019-09-30</c:v>
                </c:pt>
                <c:pt idx="6">
                  <c:v>2019-12-31</c:v>
                </c:pt>
                <c:pt idx="7">
                  <c:v>2020-03-31</c:v>
                </c:pt>
                <c:pt idx="8">
                  <c:v>2020-06-30</c:v>
                </c:pt>
                <c:pt idx="9">
                  <c:v>2020-09-30</c:v>
                </c:pt>
                <c:pt idx="10">
                  <c:v>2020-12-31</c:v>
                </c:pt>
                <c:pt idx="11">
                  <c:v>2021-03-31</c:v>
                </c:pt>
                <c:pt idx="12">
                  <c:v>2021-06-30</c:v>
                </c:pt>
                <c:pt idx="13">
                  <c:v>2021-09-30</c:v>
                </c:pt>
              </c:strCache>
            </c:strRef>
          </c:cat>
          <c:val>
            <c:numRef>
              <c:f>ro!$W$28:$AJ$28</c:f>
              <c:numCache>
                <c:formatCode>_(#,##0.0%_);\(#,##0.0%\);_("–"_)_%;_(@_)_%</c:formatCode>
                <c:ptCount val="14"/>
                <c:pt idx="0">
                  <c:v>-8.6956521739130418E-3</c:v>
                </c:pt>
                <c:pt idx="1">
                  <c:v>3.4782608695652174E-2</c:v>
                </c:pt>
                <c:pt idx="2">
                  <c:v>3.8461538461538464E-2</c:v>
                </c:pt>
                <c:pt idx="3">
                  <c:v>4.6153846153846149E-2</c:v>
                </c:pt>
                <c:pt idx="4">
                  <c:v>2.7681660899653984E-2</c:v>
                </c:pt>
                <c:pt idx="5">
                  <c:v>1.3840830449826992E-2</c:v>
                </c:pt>
                <c:pt idx="6">
                  <c:v>1.3559322033898306E-2</c:v>
                </c:pt>
                <c:pt idx="7">
                  <c:v>1.3559322033898306E-2</c:v>
                </c:pt>
                <c:pt idx="8">
                  <c:v>1.3468013468013469E-2</c:v>
                </c:pt>
                <c:pt idx="9">
                  <c:v>1.3468013468013469E-2</c:v>
                </c:pt>
                <c:pt idx="10">
                  <c:v>2.7874564459930317E-2</c:v>
                </c:pt>
                <c:pt idx="11">
                  <c:v>4.1811846689895467E-2</c:v>
                </c:pt>
                <c:pt idx="12">
                  <c:v>3.5460992907801421E-2</c:v>
                </c:pt>
                <c:pt idx="13">
                  <c:v>2.8368794326241138E-2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F5-4591-AFA3-45754A7C5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4391528"/>
        <c:axId val="664391888"/>
      </c:barChart>
      <c:catAx>
        <c:axId val="66439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91888"/>
        <c:crosses val="autoZero"/>
        <c:auto val="1"/>
        <c:lblAlgn val="ctr"/>
        <c:lblOffset val="100"/>
        <c:noMultiLvlLbl val="0"/>
      </c:catAx>
      <c:valAx>
        <c:axId val="66439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%_);\(#,##0.0%\)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915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 Turnover (Sales/Assets)</a:t>
            </a:r>
          </a:p>
        </c:rich>
      </c:tx>
      <c:layout>
        <c:manualLayout>
          <c:xMode val="edge"/>
          <c:yMode val="edge"/>
          <c:x val="0.31504855643044621"/>
          <c:y val="2.314814814814815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ro!$C$1:$U$1</c:f>
              <c:strCache>
                <c:ptCount val="19"/>
                <c:pt idx="0">
                  <c:v>2017-03-31</c:v>
                </c:pt>
                <c:pt idx="1">
                  <c:v>2017-06-30</c:v>
                </c:pt>
                <c:pt idx="2">
                  <c:v>2017-09-30</c:v>
                </c:pt>
                <c:pt idx="3">
                  <c:v>2017-12-31</c:v>
                </c:pt>
                <c:pt idx="4">
                  <c:v>2018-03-31</c:v>
                </c:pt>
                <c:pt idx="5">
                  <c:v>2018-06-30</c:v>
                </c:pt>
                <c:pt idx="6">
                  <c:v>2018-09-30</c:v>
                </c:pt>
                <c:pt idx="7">
                  <c:v>2018-12-31</c:v>
                </c:pt>
                <c:pt idx="8">
                  <c:v>2019-03-31</c:v>
                </c:pt>
                <c:pt idx="9">
                  <c:v>2019-06-30</c:v>
                </c:pt>
                <c:pt idx="10">
                  <c:v>2019-09-30</c:v>
                </c:pt>
                <c:pt idx="11">
                  <c:v>2019-12-31</c:v>
                </c:pt>
                <c:pt idx="12">
                  <c:v>2020-03-31</c:v>
                </c:pt>
                <c:pt idx="13">
                  <c:v>2020-06-30</c:v>
                </c:pt>
                <c:pt idx="14">
                  <c:v>2020-09-30</c:v>
                </c:pt>
                <c:pt idx="15">
                  <c:v>2020-12-31</c:v>
                </c:pt>
                <c:pt idx="16">
                  <c:v>2021-03-31</c:v>
                </c:pt>
                <c:pt idx="17">
                  <c:v>2021-06-30</c:v>
                </c:pt>
                <c:pt idx="18">
                  <c:v>2021-09-30</c:v>
                </c:pt>
              </c:strCache>
            </c:strRef>
          </c:cat>
          <c:val>
            <c:numRef>
              <c:f>ro!$Q$33:$AJ$33</c:f>
              <c:numCache>
                <c:formatCode>_(#,##0.00_)_%;\(#,##0.00\)_%;_("–"_)_%;_(@_)_%</c:formatCode>
                <c:ptCount val="20"/>
                <c:pt idx="0">
                  <c:v>0.43636363636363634</c:v>
                </c:pt>
                <c:pt idx="1">
                  <c:v>0.47058823529411764</c:v>
                </c:pt>
                <c:pt idx="2">
                  <c:v>0.46846846846846851</c:v>
                </c:pt>
                <c:pt idx="3">
                  <c:v>0.43333333333333335</c:v>
                </c:pt>
                <c:pt idx="4">
                  <c:v>0.44255319148936173</c:v>
                </c:pt>
                <c:pt idx="5">
                  <c:v>0.45217391304347826</c:v>
                </c:pt>
                <c:pt idx="6">
                  <c:v>0.59130434782608698</c:v>
                </c:pt>
                <c:pt idx="7">
                  <c:v>0.59130434782608698</c:v>
                </c:pt>
                <c:pt idx="8">
                  <c:v>0.89256198347107452</c:v>
                </c:pt>
                <c:pt idx="9">
                  <c:v>0.8640000000000001</c:v>
                </c:pt>
                <c:pt idx="10">
                  <c:v>0.78299776286353462</c:v>
                </c:pt>
                <c:pt idx="11">
                  <c:v>0.77071290944123305</c:v>
                </c:pt>
                <c:pt idx="12">
                  <c:v>0.90832632464255669</c:v>
                </c:pt>
                <c:pt idx="13">
                  <c:v>0.89552238805970152</c:v>
                </c:pt>
                <c:pt idx="14">
                  <c:v>0.740242261103634</c:v>
                </c:pt>
                <c:pt idx="15">
                  <c:v>0.73529411764705888</c:v>
                </c:pt>
                <c:pt idx="16">
                  <c:v>0.9678510998307952</c:v>
                </c:pt>
                <c:pt idx="17">
                  <c:v>0.9655172413793105</c:v>
                </c:pt>
                <c:pt idx="18">
                  <c:v>0.81751824817518259</c:v>
                </c:pt>
                <c:pt idx="19">
                  <c:v>0.81602914389799641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14-4A9B-9673-2FFF6810E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657744"/>
        <c:axId val="737666744"/>
      </c:lineChart>
      <c:catAx>
        <c:axId val="73765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666744"/>
        <c:crosses val="autoZero"/>
        <c:auto val="1"/>
        <c:lblAlgn val="ctr"/>
        <c:lblOffset val="100"/>
        <c:noMultiLvlLbl val="0"/>
      </c:catAx>
      <c:valAx>
        <c:axId val="73766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#,##0.00_)_%;\(#,##0.00\)_%;_(&quot;–&quot;_)_%;_(@_)_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65774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94747</xdr:colOff>
      <xdr:row>11</xdr:row>
      <xdr:rowOff>187451</xdr:rowOff>
    </xdr:from>
    <xdr:to>
      <xdr:col>51</xdr:col>
      <xdr:colOff>446612</xdr:colOff>
      <xdr:row>28</xdr:row>
      <xdr:rowOff>27105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60</xdr:row>
      <xdr:rowOff>0</xdr:rowOff>
    </xdr:from>
    <xdr:to>
      <xdr:col>31</xdr:col>
      <xdr:colOff>336177</xdr:colOff>
      <xdr:row>77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515471</xdr:colOff>
      <xdr:row>58</xdr:row>
      <xdr:rowOff>0</xdr:rowOff>
    </xdr:from>
    <xdr:to>
      <xdr:col>39</xdr:col>
      <xdr:colOff>246529</xdr:colOff>
      <xdr:row>75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0</xdr:colOff>
      <xdr:row>32</xdr:row>
      <xdr:rowOff>0</xdr:rowOff>
    </xdr:from>
    <xdr:to>
      <xdr:col>51</xdr:col>
      <xdr:colOff>348055</xdr:colOff>
      <xdr:row>48</xdr:row>
      <xdr:rowOff>40200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509867</xdr:colOff>
      <xdr:row>17</xdr:row>
      <xdr:rowOff>67243</xdr:rowOff>
    </xdr:from>
    <xdr:to>
      <xdr:col>19</xdr:col>
      <xdr:colOff>571500</xdr:colOff>
      <xdr:row>37</xdr:row>
      <xdr:rowOff>67235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812425</xdr:colOff>
      <xdr:row>17</xdr:row>
      <xdr:rowOff>0</xdr:rowOff>
    </xdr:from>
    <xdr:to>
      <xdr:col>13</xdr:col>
      <xdr:colOff>22411</xdr:colOff>
      <xdr:row>36</xdr:row>
      <xdr:rowOff>156874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443696</xdr:colOff>
      <xdr:row>19</xdr:row>
      <xdr:rowOff>88200</xdr:rowOff>
    </xdr:from>
    <xdr:to>
      <xdr:col>43</xdr:col>
      <xdr:colOff>202575</xdr:colOff>
      <xdr:row>36</xdr:row>
      <xdr:rowOff>15087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724345</xdr:colOff>
      <xdr:row>36</xdr:row>
      <xdr:rowOff>96982</xdr:rowOff>
    </xdr:from>
    <xdr:to>
      <xdr:col>44</xdr:col>
      <xdr:colOff>114545</xdr:colOff>
      <xdr:row>53</xdr:row>
      <xdr:rowOff>82396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836408</xdr:colOff>
      <xdr:row>39</xdr:row>
      <xdr:rowOff>133657</xdr:rowOff>
    </xdr:from>
    <xdr:to>
      <xdr:col>36</xdr:col>
      <xdr:colOff>319513</xdr:colOff>
      <xdr:row>56</xdr:row>
      <xdr:rowOff>126770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Normal="100" workbookViewId="0">
      <selection activeCell="C8" sqref="C8"/>
    </sheetView>
  </sheetViews>
  <sheetFormatPr defaultRowHeight="15" x14ac:dyDescent="0.25"/>
  <cols>
    <col min="1" max="2" width="13.85546875" customWidth="1"/>
    <col min="3" max="3" width="12.140625" customWidth="1"/>
  </cols>
  <sheetData>
    <row r="1" spans="1:3" x14ac:dyDescent="0.25">
      <c r="A1" t="s">
        <v>0</v>
      </c>
      <c r="C1" s="22" t="str">
        <f>tsh_IS!C2</f>
        <v>TSH</v>
      </c>
    </row>
    <row r="2" spans="1:3" x14ac:dyDescent="0.25">
      <c r="A2" t="s">
        <v>1</v>
      </c>
      <c r="C2" s="22" t="s">
        <v>2</v>
      </c>
    </row>
    <row r="3" spans="1:3" x14ac:dyDescent="0.25">
      <c r="A3" t="s">
        <v>3</v>
      </c>
      <c r="C3" s="32" t="s">
        <v>4</v>
      </c>
    </row>
    <row r="4" spans="1:3" x14ac:dyDescent="0.25">
      <c r="A4" t="s">
        <v>5</v>
      </c>
      <c r="C4" s="32" t="s">
        <v>6</v>
      </c>
    </row>
    <row r="5" spans="1:3" x14ac:dyDescent="0.25">
      <c r="A5" t="s">
        <v>7</v>
      </c>
      <c r="C5" s="32" t="s">
        <v>8</v>
      </c>
    </row>
    <row r="6" spans="1:3" x14ac:dyDescent="0.25">
      <c r="A6" t="s">
        <v>9</v>
      </c>
      <c r="C6" s="74">
        <v>0.12</v>
      </c>
    </row>
    <row r="7" spans="1:3" x14ac:dyDescent="0.25">
      <c r="A7" t="s">
        <v>10</v>
      </c>
      <c r="C7" s="65">
        <v>4.28</v>
      </c>
    </row>
    <row r="8" spans="1:3" x14ac:dyDescent="0.25">
      <c r="A8" t="s">
        <v>11</v>
      </c>
      <c r="C8" s="30">
        <f>ncav!AK46</f>
        <v>0.64975609756097563</v>
      </c>
    </row>
    <row r="9" spans="1:3" x14ac:dyDescent="0.25">
      <c r="A9" t="s">
        <v>12</v>
      </c>
      <c r="C9">
        <v>2000</v>
      </c>
    </row>
    <row r="10" spans="1:3" x14ac:dyDescent="0.25">
      <c r="A10" t="s">
        <v>13</v>
      </c>
      <c r="C10" t="s">
        <v>14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4"/>
  <sheetViews>
    <sheetView zoomScaleNormal="100" workbookViewId="0">
      <pane xSplit="2" ySplit="1" topLeftCell="AA2" activePane="bottomRight" state="frozen"/>
      <selection pane="topRight" activeCell="C1" sqref="C1"/>
      <selection pane="bottomLeft" activeCell="A2" sqref="A2"/>
      <selection pane="bottomRight" activeCell="AK22" sqref="AK22"/>
    </sheetView>
  </sheetViews>
  <sheetFormatPr defaultColWidth="9.140625" defaultRowHeight="12.75" x14ac:dyDescent="0.2"/>
  <cols>
    <col min="1" max="1" width="2.7109375" style="6" customWidth="1"/>
    <col min="2" max="2" width="21.7109375" style="6" customWidth="1"/>
    <col min="3" max="43" width="12.7109375" style="6" customWidth="1"/>
    <col min="44" max="50" width="9.140625" style="6" customWidth="1"/>
    <col min="51" max="16384" width="9.140625" style="6"/>
  </cols>
  <sheetData>
    <row r="1" spans="1:43" ht="15" customHeight="1" x14ac:dyDescent="0.25">
      <c r="D1" s="40" t="s">
        <v>15</v>
      </c>
      <c r="E1" s="40" t="s">
        <v>16</v>
      </c>
      <c r="F1" s="40" t="s">
        <v>17</v>
      </c>
      <c r="G1" s="40" t="s">
        <v>18</v>
      </c>
      <c r="H1" s="40" t="s">
        <v>19</v>
      </c>
      <c r="I1" s="40" t="s">
        <v>20</v>
      </c>
      <c r="J1" s="40" t="s">
        <v>21</v>
      </c>
      <c r="K1" s="40" t="s">
        <v>22</v>
      </c>
      <c r="L1" s="40" t="s">
        <v>23</v>
      </c>
      <c r="M1" s="40" t="s">
        <v>24</v>
      </c>
      <c r="N1" s="40" t="s">
        <v>25</v>
      </c>
      <c r="O1" s="40" t="s">
        <v>26</v>
      </c>
      <c r="P1" s="40" t="s">
        <v>27</v>
      </c>
      <c r="Q1" s="40" t="s">
        <v>28</v>
      </c>
      <c r="R1" s="40" t="s">
        <v>29</v>
      </c>
      <c r="S1" s="40" t="s">
        <v>30</v>
      </c>
      <c r="T1" s="40" t="s">
        <v>31</v>
      </c>
      <c r="U1" s="40" t="s">
        <v>32</v>
      </c>
      <c r="V1" s="40" t="s">
        <v>33</v>
      </c>
      <c r="W1" s="40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</row>
    <row r="2" spans="1:43" ht="12.75" customHeight="1" x14ac:dyDescent="0.2">
      <c r="A2" s="6" t="s">
        <v>49</v>
      </c>
      <c r="D2" s="7">
        <f>_xlfn.NUMBERVALUE(tsh_bs!D12)+_xlfn.NUMBERVALUE(tsh_bs!D13)</f>
        <v>0</v>
      </c>
      <c r="E2" s="7">
        <f>_xlfn.NUMBERVALUE(tsh_bs!E12)+_xlfn.NUMBERVALUE(tsh_bs!E13)</f>
        <v>0</v>
      </c>
      <c r="F2" s="7">
        <f>_xlfn.NUMBERVALUE(tsh_bs!F12)+_xlfn.NUMBERVALUE(tsh_bs!F13)</f>
        <v>0.9</v>
      </c>
      <c r="G2" s="7">
        <f>_xlfn.NUMBERVALUE(tsh_bs!G12)+_xlfn.NUMBERVALUE(tsh_bs!G13)</f>
        <v>0.9</v>
      </c>
      <c r="H2" s="7">
        <f>_xlfn.NUMBERVALUE(tsh_bs!H12)+_xlfn.NUMBERVALUE(tsh_bs!H13)</f>
        <v>1.1000000000000001</v>
      </c>
      <c r="I2" s="7">
        <f>_xlfn.NUMBERVALUE(tsh_bs!I12)+_xlfn.NUMBERVALUE(tsh_bs!I13)</f>
        <v>1.1000000000000001</v>
      </c>
      <c r="J2" s="7">
        <f>_xlfn.NUMBERVALUE(tsh_bs!J12)+_xlfn.NUMBERVALUE(tsh_bs!J13)</f>
        <v>1</v>
      </c>
      <c r="K2" s="7">
        <f>_xlfn.NUMBERVALUE(tsh_bs!K12)+_xlfn.NUMBERVALUE(tsh_bs!K13)</f>
        <v>1</v>
      </c>
      <c r="L2" s="7">
        <f>_xlfn.NUMBERVALUE(tsh_bs!L12)+_xlfn.NUMBERVALUE(tsh_bs!L13)</f>
        <v>5.4</v>
      </c>
      <c r="M2" s="7">
        <f>_xlfn.NUMBERVALUE(tsh_bs!M12)+_xlfn.NUMBERVALUE(tsh_bs!M13)</f>
        <v>5.4</v>
      </c>
      <c r="N2" s="7">
        <f>_xlfn.NUMBERVALUE(tsh_bs!N12)+_xlfn.NUMBERVALUE(tsh_bs!N13)</f>
        <v>5.8</v>
      </c>
      <c r="O2" s="7">
        <f>_xlfn.NUMBERVALUE(tsh_bs!O12)+_xlfn.NUMBERVALUE(tsh_bs!O13)</f>
        <v>5.8</v>
      </c>
      <c r="P2" s="7">
        <f>_xlfn.NUMBERVALUE(tsh_bs!P12)+_xlfn.NUMBERVALUE(tsh_bs!P13)</f>
        <v>4.8</v>
      </c>
      <c r="Q2" s="7">
        <f>_xlfn.NUMBERVALUE(tsh_bs!Q12)+_xlfn.NUMBERVALUE(tsh_bs!Q13)</f>
        <v>4.8</v>
      </c>
      <c r="R2" s="7">
        <f>_xlfn.NUMBERVALUE(tsh_bs!R12)+_xlfn.NUMBERVALUE(tsh_bs!R13)</f>
        <v>4.5</v>
      </c>
      <c r="S2" s="7">
        <f>_xlfn.NUMBERVALUE(tsh_bs!S12)+_xlfn.NUMBERVALUE(tsh_bs!S13)</f>
        <v>4.5</v>
      </c>
      <c r="T2" s="7">
        <f>_xlfn.NUMBERVALUE(tsh_bs!T12)+_xlfn.NUMBERVALUE(tsh_bs!T13)</f>
        <v>5.9</v>
      </c>
      <c r="U2" s="7">
        <f>_xlfn.NUMBERVALUE(tsh_bs!U12)+_xlfn.NUMBERVALUE(tsh_bs!U13)</f>
        <v>5.9</v>
      </c>
      <c r="V2" s="7">
        <f>_xlfn.NUMBERVALUE(tsh_bs!V12)+_xlfn.NUMBERVALUE(tsh_bs!V13)</f>
        <v>4.9000000000000004</v>
      </c>
      <c r="W2" s="7">
        <f>_xlfn.NUMBERVALUE(tsh_bs!W12)+_xlfn.NUMBERVALUE(tsh_bs!W13)</f>
        <v>4.9000000000000004</v>
      </c>
      <c r="X2" s="7">
        <f>_xlfn.NUMBERVALUE(tsh_bs!X12)+_xlfn.NUMBERVALUE(tsh_bs!X13)</f>
        <v>4.0999999999999996</v>
      </c>
      <c r="Y2" s="7">
        <f>_xlfn.NUMBERVALUE(tsh_bs!Y12)+_xlfn.NUMBERVALUE(tsh_bs!Y13)</f>
        <v>4.0999999999999996</v>
      </c>
      <c r="Z2" s="7">
        <f>_xlfn.NUMBERVALUE(tsh_bs!Z12)+_xlfn.NUMBERVALUE(tsh_bs!Z13)</f>
        <v>3.8000000000000003</v>
      </c>
      <c r="AA2" s="7">
        <f>_xlfn.NUMBERVALUE(tsh_bs!AA12)+_xlfn.NUMBERVALUE(tsh_bs!AA13)</f>
        <v>3.8000000000000003</v>
      </c>
      <c r="AB2" s="7">
        <f>_xlfn.NUMBERVALUE(tsh_bs!AB12)+_xlfn.NUMBERVALUE(tsh_bs!AB13)</f>
        <v>1.8</v>
      </c>
      <c r="AC2" s="7">
        <f>_xlfn.NUMBERVALUE(tsh_bs!AC12)+_xlfn.NUMBERVALUE(tsh_bs!AC13)</f>
        <v>1.8</v>
      </c>
      <c r="AD2" s="7">
        <f>_xlfn.NUMBERVALUE(tsh_bs!AD12)+_xlfn.NUMBERVALUE(tsh_bs!AD13)</f>
        <v>1.9</v>
      </c>
      <c r="AE2" s="7">
        <f>_xlfn.NUMBERVALUE(tsh_bs!AE12)+_xlfn.NUMBERVALUE(tsh_bs!AE13)</f>
        <v>1.9</v>
      </c>
      <c r="AF2" s="7">
        <f>_xlfn.NUMBERVALUE(tsh_bs!AF12)+_xlfn.NUMBERVALUE(tsh_bs!AF13)</f>
        <v>1.7</v>
      </c>
      <c r="AG2" s="7">
        <f>_xlfn.NUMBERVALUE(tsh_bs!AG12)+_xlfn.NUMBERVALUE(tsh_bs!AG13)</f>
        <v>1.7</v>
      </c>
      <c r="AH2" s="7">
        <f>_xlfn.NUMBERVALUE(tsh_bs!AH12)+_xlfn.NUMBERVALUE(tsh_bs!AH13)</f>
        <v>2.7</v>
      </c>
      <c r="AI2" s="7">
        <f>_xlfn.NUMBERVALUE(tsh_bs!AI12)+_xlfn.NUMBERVALUE(tsh_bs!AI13)</f>
        <v>2.7</v>
      </c>
      <c r="AJ2" s="7">
        <f>_xlfn.NUMBERVALUE(tsh_bs!AJ12)+_xlfn.NUMBERVALUE(tsh_bs!AJ13)</f>
        <v>2.2999999999999998</v>
      </c>
      <c r="AK2" s="7">
        <f>_xlfn.NUMBERVALUE(tsh_bs!AK12)+_xlfn.NUMBERVALUE(tsh_bs!AK13)</f>
        <v>2.2999999999999998</v>
      </c>
      <c r="AL2" s="7"/>
      <c r="AM2" s="7"/>
      <c r="AN2" s="7"/>
      <c r="AO2" s="7"/>
      <c r="AP2" s="7"/>
      <c r="AQ2" s="7"/>
    </row>
    <row r="3" spans="1:43" ht="12.75" customHeight="1" x14ac:dyDescent="0.2">
      <c r="A3" s="6" t="s">
        <v>50</v>
      </c>
      <c r="C3" s="41">
        <v>0.8</v>
      </c>
      <c r="D3" s="7">
        <f>_xlfn.NUMBERVALUE(tsh_bs!D14)</f>
        <v>0</v>
      </c>
      <c r="E3" s="7">
        <f>_xlfn.NUMBERVALUE(tsh_bs!E14)</f>
        <v>0</v>
      </c>
      <c r="F3" s="7">
        <f>_xlfn.NUMBERVALUE(tsh_bs!F14)</f>
        <v>0.2</v>
      </c>
      <c r="G3" s="7">
        <f>_xlfn.NUMBERVALUE(tsh_bs!G14)</f>
        <v>0.2</v>
      </c>
      <c r="H3" s="7">
        <f>_xlfn.NUMBERVALUE(tsh_bs!H14)</f>
        <v>0.2</v>
      </c>
      <c r="I3" s="7">
        <f>_xlfn.NUMBERVALUE(tsh_bs!I14)</f>
        <v>0.2</v>
      </c>
      <c r="J3" s="7">
        <f>_xlfn.NUMBERVALUE(tsh_bs!J14)</f>
        <v>0.1</v>
      </c>
      <c r="K3" s="7">
        <f>_xlfn.NUMBERVALUE(tsh_bs!K14)</f>
        <v>0.1</v>
      </c>
      <c r="L3" s="7">
        <f>_xlfn.NUMBERVALUE(tsh_bs!L14)</f>
        <v>0.6</v>
      </c>
      <c r="M3" s="7">
        <f>_xlfn.NUMBERVALUE(tsh_bs!M14)</f>
        <v>0.6</v>
      </c>
      <c r="N3" s="7">
        <f>_xlfn.NUMBERVALUE(tsh_bs!N14)</f>
        <v>0.1</v>
      </c>
      <c r="O3" s="7">
        <f>_xlfn.NUMBERVALUE(tsh_bs!O14)</f>
        <v>0.1</v>
      </c>
      <c r="P3" s="7">
        <f>_xlfn.NUMBERVALUE(tsh_bs!P14)</f>
        <v>0.9</v>
      </c>
      <c r="Q3" s="7">
        <f>_xlfn.NUMBERVALUE(tsh_bs!Q14)</f>
        <v>0.9</v>
      </c>
      <c r="R3" s="7">
        <f>_xlfn.NUMBERVALUE(tsh_bs!R14)</f>
        <v>0.1</v>
      </c>
      <c r="S3" s="7">
        <f>_xlfn.NUMBERVALUE(tsh_bs!S14)</f>
        <v>0.1</v>
      </c>
      <c r="T3" s="7">
        <f>_xlfn.NUMBERVALUE(tsh_bs!T14)</f>
        <v>0.6</v>
      </c>
      <c r="U3" s="7">
        <f>_xlfn.NUMBERVALUE(tsh_bs!U14)</f>
        <v>0.6</v>
      </c>
      <c r="V3" s="7">
        <f>_xlfn.NUMBERVALUE(tsh_bs!V14)</f>
        <v>0.1</v>
      </c>
      <c r="W3" s="7">
        <f>_xlfn.NUMBERVALUE(tsh_bs!W14)</f>
        <v>0.1</v>
      </c>
      <c r="X3" s="7">
        <f>_xlfn.NUMBERVALUE(tsh_bs!X14)</f>
        <v>0.6</v>
      </c>
      <c r="Y3" s="7">
        <f>_xlfn.NUMBERVALUE(tsh_bs!Y14)</f>
        <v>0.6</v>
      </c>
      <c r="Z3" s="7">
        <f>_xlfn.NUMBERVALUE(tsh_bs!Z14)</f>
        <v>0.2</v>
      </c>
      <c r="AA3" s="7">
        <f>_xlfn.NUMBERVALUE(tsh_bs!AA14)</f>
        <v>0.2</v>
      </c>
      <c r="AB3" s="7">
        <f>_xlfn.NUMBERVALUE(tsh_bs!AB14)</f>
        <v>0.7</v>
      </c>
      <c r="AC3" s="7">
        <f>_xlfn.NUMBERVALUE(tsh_bs!AC14)</f>
        <v>0.7</v>
      </c>
      <c r="AD3" s="7">
        <f>_xlfn.NUMBERVALUE(tsh_bs!AD14)</f>
        <v>0.4</v>
      </c>
      <c r="AE3" s="7">
        <f>_xlfn.NUMBERVALUE(tsh_bs!AE14)</f>
        <v>0.4</v>
      </c>
      <c r="AF3" s="7">
        <f>_xlfn.NUMBERVALUE(tsh_bs!AF14)</f>
        <v>0.7</v>
      </c>
      <c r="AG3" s="7">
        <f>_xlfn.NUMBERVALUE(tsh_bs!AG14)</f>
        <v>0.7</v>
      </c>
      <c r="AH3" s="7">
        <f>_xlfn.NUMBERVALUE(tsh_bs!AH14)</f>
        <v>0.2</v>
      </c>
      <c r="AI3" s="7">
        <f>_xlfn.NUMBERVALUE(tsh_bs!AI14)</f>
        <v>0.2</v>
      </c>
      <c r="AJ3" s="7">
        <f>_xlfn.NUMBERVALUE(tsh_bs!AJ14)</f>
        <v>0.7</v>
      </c>
      <c r="AK3" s="7">
        <f>_xlfn.NUMBERVALUE(tsh_bs!AK14)</f>
        <v>0.7</v>
      </c>
      <c r="AL3" s="7"/>
      <c r="AM3" s="7"/>
      <c r="AN3" s="7"/>
      <c r="AO3" s="7"/>
      <c r="AP3" s="7"/>
      <c r="AQ3" s="7"/>
    </row>
    <row r="4" spans="1:43" ht="12.75" customHeight="1" x14ac:dyDescent="0.2">
      <c r="A4" s="6" t="s">
        <v>51</v>
      </c>
      <c r="C4" s="41">
        <v>0.6</v>
      </c>
      <c r="D4" s="7">
        <f>_xlfn.NUMBERVALUE(tsh_bs!D15)</f>
        <v>0</v>
      </c>
      <c r="E4" s="7">
        <f>_xlfn.NUMBERVALUE(tsh_bs!E15)</f>
        <v>0</v>
      </c>
      <c r="F4" s="7">
        <f>_xlfn.NUMBERVALUE(tsh_bs!F15)</f>
        <v>2.6</v>
      </c>
      <c r="G4" s="7">
        <f>_xlfn.NUMBERVALUE(tsh_bs!G15)</f>
        <v>2.6</v>
      </c>
      <c r="H4" s="7">
        <f>_xlfn.NUMBERVALUE(tsh_bs!H15)</f>
        <v>2.6</v>
      </c>
      <c r="I4" s="7">
        <f>_xlfn.NUMBERVALUE(tsh_bs!I15)</f>
        <v>2.6</v>
      </c>
      <c r="J4" s="7">
        <f>_xlfn.NUMBERVALUE(tsh_bs!J15)</f>
        <v>2.8</v>
      </c>
      <c r="K4" s="7">
        <f>_xlfn.NUMBERVALUE(tsh_bs!K15)</f>
        <v>2.8</v>
      </c>
      <c r="L4" s="7">
        <f>_xlfn.NUMBERVALUE(tsh_bs!L15)</f>
        <v>2.8</v>
      </c>
      <c r="M4" s="7">
        <f>_xlfn.NUMBERVALUE(tsh_bs!M15)</f>
        <v>2.8</v>
      </c>
      <c r="N4" s="7">
        <f>_xlfn.NUMBERVALUE(tsh_bs!N15)</f>
        <v>3.2</v>
      </c>
      <c r="O4" s="7">
        <f>_xlfn.NUMBERVALUE(tsh_bs!O15)</f>
        <v>3.2</v>
      </c>
      <c r="P4" s="7">
        <f>_xlfn.NUMBERVALUE(tsh_bs!P15)</f>
        <v>3.3</v>
      </c>
      <c r="Q4" s="7">
        <f>_xlfn.NUMBERVALUE(tsh_bs!Q15)</f>
        <v>3.3</v>
      </c>
      <c r="R4" s="7">
        <f>_xlfn.NUMBERVALUE(tsh_bs!R15)</f>
        <v>4</v>
      </c>
      <c r="S4" s="7">
        <f>_xlfn.NUMBERVALUE(tsh_bs!S15)</f>
        <v>4</v>
      </c>
      <c r="T4" s="7">
        <f>_xlfn.NUMBERVALUE(tsh_bs!T15)</f>
        <v>4.5</v>
      </c>
      <c r="U4" s="7">
        <f>_xlfn.NUMBERVALUE(tsh_bs!U15)</f>
        <v>4.5</v>
      </c>
      <c r="V4" s="7">
        <f>_xlfn.NUMBERVALUE(tsh_bs!V15)</f>
        <v>5.5</v>
      </c>
      <c r="W4" s="7">
        <f>_xlfn.NUMBERVALUE(tsh_bs!W15)</f>
        <v>5.5</v>
      </c>
      <c r="X4" s="7">
        <f>_xlfn.NUMBERVALUE(tsh_bs!X15)</f>
        <v>6.1</v>
      </c>
      <c r="Y4" s="7">
        <f>_xlfn.NUMBERVALUE(tsh_bs!Y15)</f>
        <v>6.1</v>
      </c>
      <c r="Z4" s="7">
        <f>_xlfn.NUMBERVALUE(tsh_bs!Z15)</f>
        <v>7.4</v>
      </c>
      <c r="AA4" s="7">
        <f>_xlfn.NUMBERVALUE(tsh_bs!AA15)</f>
        <v>7.4</v>
      </c>
      <c r="AB4" s="7">
        <f>_xlfn.NUMBERVALUE(tsh_bs!AB15)</f>
        <v>8.6</v>
      </c>
      <c r="AC4" s="7">
        <f>_xlfn.NUMBERVALUE(tsh_bs!AC15)</f>
        <v>8.6</v>
      </c>
      <c r="AD4" s="7">
        <f>_xlfn.NUMBERVALUE(tsh_bs!AD15)</f>
        <v>9</v>
      </c>
      <c r="AE4" s="7">
        <f>_xlfn.NUMBERVALUE(tsh_bs!AE15)</f>
        <v>9</v>
      </c>
      <c r="AF4" s="7">
        <f>_xlfn.NUMBERVALUE(tsh_bs!AF15)</f>
        <v>9.4</v>
      </c>
      <c r="AG4" s="7">
        <f>_xlfn.NUMBERVALUE(tsh_bs!AG15)</f>
        <v>9.4</v>
      </c>
      <c r="AH4" s="7">
        <f>_xlfn.NUMBERVALUE(tsh_bs!AH15)</f>
        <v>9.3000000000000007</v>
      </c>
      <c r="AI4" s="7">
        <f>_xlfn.NUMBERVALUE(tsh_bs!AI15)</f>
        <v>9.3000000000000007</v>
      </c>
      <c r="AJ4" s="7">
        <f>_xlfn.NUMBERVALUE(tsh_bs!AJ15)</f>
        <v>9.6</v>
      </c>
      <c r="AK4" s="7">
        <f>_xlfn.NUMBERVALUE(tsh_bs!AK15)</f>
        <v>9.6</v>
      </c>
      <c r="AL4" s="7"/>
      <c r="AM4" s="7"/>
      <c r="AN4" s="7"/>
      <c r="AO4" s="7"/>
      <c r="AP4" s="7"/>
      <c r="AQ4" s="7"/>
    </row>
    <row r="5" spans="1:43" ht="15" customHeight="1" x14ac:dyDescent="0.2">
      <c r="A5" s="6" t="s">
        <v>52</v>
      </c>
      <c r="D5" s="7">
        <f>_xlfn.NUMBERVALUE(tsh_bs!D18)</f>
        <v>0</v>
      </c>
      <c r="E5" s="7">
        <f>_xlfn.NUMBERVALUE(tsh_bs!E18)</f>
        <v>0</v>
      </c>
      <c r="F5" s="7">
        <f>_xlfn.NUMBERVALUE(tsh_bs!F18)</f>
        <v>4</v>
      </c>
      <c r="G5" s="7">
        <f>_xlfn.NUMBERVALUE(tsh_bs!G18)</f>
        <v>4</v>
      </c>
      <c r="H5" s="7">
        <f>_xlfn.NUMBERVALUE(tsh_bs!H18)</f>
        <v>4.2</v>
      </c>
      <c r="I5" s="7">
        <f>_xlfn.NUMBERVALUE(tsh_bs!I18)</f>
        <v>4.2</v>
      </c>
      <c r="J5" s="7">
        <f>_xlfn.NUMBERVALUE(tsh_bs!J18)</f>
        <v>4.3</v>
      </c>
      <c r="K5" s="7">
        <f>_xlfn.NUMBERVALUE(tsh_bs!K18)</f>
        <v>4.3</v>
      </c>
      <c r="L5" s="7">
        <f>_xlfn.NUMBERVALUE(tsh_bs!L18)</f>
        <v>8.8000000000000007</v>
      </c>
      <c r="M5" s="7">
        <f>_xlfn.NUMBERVALUE(tsh_bs!M18)</f>
        <v>8.8000000000000007</v>
      </c>
      <c r="N5" s="7">
        <f>_xlfn.NUMBERVALUE(tsh_bs!N18)</f>
        <v>9.4</v>
      </c>
      <c r="O5" s="7">
        <f>_xlfn.NUMBERVALUE(tsh_bs!O18)</f>
        <v>9.4</v>
      </c>
      <c r="P5" s="7">
        <f>_xlfn.NUMBERVALUE(tsh_bs!P18)</f>
        <v>9</v>
      </c>
      <c r="Q5" s="7">
        <f>_xlfn.NUMBERVALUE(tsh_bs!Q18)</f>
        <v>9</v>
      </c>
      <c r="R5" s="7">
        <f>_xlfn.NUMBERVALUE(tsh_bs!R18)</f>
        <v>8.9</v>
      </c>
      <c r="S5" s="7">
        <f>_xlfn.NUMBERVALUE(tsh_bs!S18)</f>
        <v>8.9</v>
      </c>
      <c r="T5" s="7">
        <f>_xlfn.NUMBERVALUE(tsh_bs!T18)</f>
        <v>11</v>
      </c>
      <c r="U5" s="7">
        <f>_xlfn.NUMBERVALUE(tsh_bs!U18)</f>
        <v>11</v>
      </c>
      <c r="V5" s="7">
        <f>_xlfn.NUMBERVALUE(tsh_bs!V18)</f>
        <v>10.8</v>
      </c>
      <c r="W5" s="7">
        <f>_xlfn.NUMBERVALUE(tsh_bs!W18)</f>
        <v>10.8</v>
      </c>
      <c r="X5" s="7">
        <f>_xlfn.NUMBERVALUE(tsh_bs!X18)</f>
        <v>10.8</v>
      </c>
      <c r="Y5" s="7">
        <f>_xlfn.NUMBERVALUE(tsh_bs!Y18)</f>
        <v>10.8</v>
      </c>
      <c r="Z5" s="7">
        <f>_xlfn.NUMBERVALUE(tsh_bs!Z18)</f>
        <v>11.7</v>
      </c>
      <c r="AA5" s="7">
        <f>_xlfn.NUMBERVALUE(tsh_bs!AA18)</f>
        <v>11.7</v>
      </c>
      <c r="AB5" s="7">
        <f>_xlfn.NUMBERVALUE(tsh_bs!AB18)</f>
        <v>11.1</v>
      </c>
      <c r="AC5" s="7">
        <f>_xlfn.NUMBERVALUE(tsh_bs!AC18)</f>
        <v>11.1</v>
      </c>
      <c r="AD5" s="7">
        <f>_xlfn.NUMBERVALUE(tsh_bs!AD18)</f>
        <v>11.7</v>
      </c>
      <c r="AE5" s="7">
        <f>_xlfn.NUMBERVALUE(tsh_bs!AE18)</f>
        <v>11.7</v>
      </c>
      <c r="AF5" s="7">
        <f>_xlfn.NUMBERVALUE(tsh_bs!AF18)</f>
        <v>11.8</v>
      </c>
      <c r="AG5" s="7">
        <f>_xlfn.NUMBERVALUE(tsh_bs!AG18)</f>
        <v>11.8</v>
      </c>
      <c r="AH5" s="7">
        <f>_xlfn.NUMBERVALUE(tsh_bs!AH18)</f>
        <v>12.3</v>
      </c>
      <c r="AI5" s="7">
        <f>_xlfn.NUMBERVALUE(tsh_bs!AI18)</f>
        <v>12.3</v>
      </c>
      <c r="AJ5" s="7">
        <f>_xlfn.NUMBERVALUE(tsh_bs!AJ18)</f>
        <v>12.6</v>
      </c>
      <c r="AK5" s="35">
        <f>_xlfn.NUMBERVALUE(tsh_bs!AK18)</f>
        <v>12.6</v>
      </c>
      <c r="AL5" s="7"/>
      <c r="AM5" s="7"/>
      <c r="AN5" s="7"/>
      <c r="AO5" s="7"/>
      <c r="AP5" s="7"/>
      <c r="AQ5" s="7"/>
    </row>
    <row r="6" spans="1:43" ht="15" customHeight="1" x14ac:dyDescent="0.25">
      <c r="A6" s="6" t="s">
        <v>53</v>
      </c>
      <c r="D6" s="8">
        <f t="shared" ref="D6:AK6" si="0">D3*$C$3+$C$4*D4+D2</f>
        <v>0</v>
      </c>
      <c r="E6" s="8">
        <f t="shared" si="0"/>
        <v>0</v>
      </c>
      <c r="F6" s="8">
        <f t="shared" si="0"/>
        <v>2.62</v>
      </c>
      <c r="G6" s="8">
        <f t="shared" si="0"/>
        <v>2.62</v>
      </c>
      <c r="H6" s="8">
        <f t="shared" si="0"/>
        <v>2.8200000000000003</v>
      </c>
      <c r="I6" s="8">
        <f t="shared" si="0"/>
        <v>2.8200000000000003</v>
      </c>
      <c r="J6" s="8">
        <f t="shared" si="0"/>
        <v>2.76</v>
      </c>
      <c r="K6" s="8">
        <f t="shared" si="0"/>
        <v>2.76</v>
      </c>
      <c r="L6" s="8">
        <f t="shared" si="0"/>
        <v>7.5600000000000005</v>
      </c>
      <c r="M6" s="8">
        <f t="shared" si="0"/>
        <v>7.5600000000000005</v>
      </c>
      <c r="N6" s="8">
        <f t="shared" si="0"/>
        <v>7.8</v>
      </c>
      <c r="O6" s="8">
        <f t="shared" si="0"/>
        <v>7.8</v>
      </c>
      <c r="P6" s="8">
        <f t="shared" si="0"/>
        <v>7.5</v>
      </c>
      <c r="Q6" s="8">
        <f t="shared" si="0"/>
        <v>7.5</v>
      </c>
      <c r="R6" s="8">
        <f t="shared" si="0"/>
        <v>6.98</v>
      </c>
      <c r="S6" s="8">
        <f t="shared" si="0"/>
        <v>6.98</v>
      </c>
      <c r="T6" s="8">
        <f t="shared" si="0"/>
        <v>9.08</v>
      </c>
      <c r="U6" s="8">
        <f t="shared" si="0"/>
        <v>9.08</v>
      </c>
      <c r="V6" s="8">
        <f t="shared" si="0"/>
        <v>8.2800000000000011</v>
      </c>
      <c r="W6" s="8">
        <f t="shared" si="0"/>
        <v>8.2800000000000011</v>
      </c>
      <c r="X6">
        <f t="shared" si="0"/>
        <v>8.2399999999999984</v>
      </c>
      <c r="Y6">
        <f t="shared" si="0"/>
        <v>8.2399999999999984</v>
      </c>
      <c r="Z6">
        <f t="shared" si="0"/>
        <v>8.4</v>
      </c>
      <c r="AA6">
        <f t="shared" si="0"/>
        <v>8.4</v>
      </c>
      <c r="AB6">
        <f t="shared" si="0"/>
        <v>7.5199999999999987</v>
      </c>
      <c r="AC6">
        <f t="shared" si="0"/>
        <v>7.5199999999999987</v>
      </c>
      <c r="AD6">
        <f t="shared" si="0"/>
        <v>7.6199999999999992</v>
      </c>
      <c r="AE6">
        <f t="shared" si="0"/>
        <v>7.6199999999999992</v>
      </c>
      <c r="AF6">
        <f t="shared" si="0"/>
        <v>7.8999999999999995</v>
      </c>
      <c r="AG6">
        <f t="shared" si="0"/>
        <v>7.8999999999999995</v>
      </c>
      <c r="AH6">
        <f t="shared" si="0"/>
        <v>8.4400000000000013</v>
      </c>
      <c r="AI6">
        <f t="shared" si="0"/>
        <v>8.4400000000000013</v>
      </c>
      <c r="AJ6">
        <f t="shared" si="0"/>
        <v>8.6199999999999992</v>
      </c>
      <c r="AK6">
        <f t="shared" si="0"/>
        <v>8.6199999999999992</v>
      </c>
    </row>
    <row r="7" spans="1:43" x14ac:dyDescent="0.2"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43" x14ac:dyDescent="0.2"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43" x14ac:dyDescent="0.2">
      <c r="A9" s="6" t="s">
        <v>54</v>
      </c>
      <c r="D9" s="7">
        <f>_xlfn.NUMBERVALUE(tsh_bs!D27)</f>
        <v>0</v>
      </c>
      <c r="E9" s="7">
        <f>_xlfn.NUMBERVALUE(tsh_bs!E27)</f>
        <v>0</v>
      </c>
      <c r="F9" s="7">
        <f>_xlfn.NUMBERVALUE(tsh_bs!F27)</f>
        <v>4.9000000000000004</v>
      </c>
      <c r="G9" s="7">
        <f>_xlfn.NUMBERVALUE(tsh_bs!G27)</f>
        <v>4.9000000000000004</v>
      </c>
      <c r="H9" s="7">
        <f>_xlfn.NUMBERVALUE(tsh_bs!H27)</f>
        <v>4.9000000000000004</v>
      </c>
      <c r="I9" s="7">
        <f>_xlfn.NUMBERVALUE(tsh_bs!I27)</f>
        <v>4.9000000000000004</v>
      </c>
      <c r="J9" s="7">
        <f>_xlfn.NUMBERVALUE(tsh_bs!J27)</f>
        <v>5.9</v>
      </c>
      <c r="K9" s="7">
        <f>_xlfn.NUMBERVALUE(tsh_bs!K27)</f>
        <v>5.9</v>
      </c>
      <c r="L9" s="7">
        <f>_xlfn.NUMBERVALUE(tsh_bs!L27)</f>
        <v>11.9</v>
      </c>
      <c r="M9" s="7">
        <f>_xlfn.NUMBERVALUE(tsh_bs!M27)</f>
        <v>11.9</v>
      </c>
      <c r="N9" s="7">
        <f>_xlfn.NUMBERVALUE(tsh_bs!N27)</f>
        <v>12.9</v>
      </c>
      <c r="O9" s="7">
        <f>_xlfn.NUMBERVALUE(tsh_bs!O27)</f>
        <v>12.9</v>
      </c>
      <c r="P9" s="7">
        <f>_xlfn.NUMBERVALUE(tsh_bs!P27)</f>
        <v>11.8</v>
      </c>
      <c r="Q9" s="7">
        <f>_xlfn.NUMBERVALUE(tsh_bs!Q27)</f>
        <v>11.8</v>
      </c>
      <c r="R9" s="7">
        <f>_xlfn.NUMBERVALUE(tsh_bs!R27)</f>
        <v>10.199999999999999</v>
      </c>
      <c r="S9" s="7">
        <f>_xlfn.NUMBERVALUE(tsh_bs!S27)</f>
        <v>10.199999999999999</v>
      </c>
      <c r="T9" s="7">
        <f>_xlfn.NUMBERVALUE(tsh_bs!T27)</f>
        <v>12</v>
      </c>
      <c r="U9" s="7">
        <f>_xlfn.NUMBERVALUE(tsh_bs!U27)</f>
        <v>12</v>
      </c>
      <c r="V9" s="7">
        <f>_xlfn.NUMBERVALUE(tsh_bs!V27)</f>
        <v>11.5</v>
      </c>
      <c r="W9" s="7">
        <f>_xlfn.NUMBERVALUE(tsh_bs!W27)</f>
        <v>11.5</v>
      </c>
      <c r="X9" s="7">
        <f>_xlfn.NUMBERVALUE(tsh_bs!X27)</f>
        <v>11.5</v>
      </c>
      <c r="Y9" s="7">
        <f>_xlfn.NUMBERVALUE(tsh_bs!Y27)</f>
        <v>11.5</v>
      </c>
      <c r="Z9" s="7">
        <f>_xlfn.NUMBERVALUE(tsh_bs!Z27)</f>
        <v>14.5</v>
      </c>
      <c r="AA9" s="7">
        <f>_xlfn.NUMBERVALUE(tsh_bs!AA27)</f>
        <v>14.5</v>
      </c>
      <c r="AB9" s="7">
        <f>_xlfn.NUMBERVALUE(tsh_bs!AB27)</f>
        <v>14.4</v>
      </c>
      <c r="AC9" s="7">
        <f>_xlfn.NUMBERVALUE(tsh_bs!AC27)</f>
        <v>14.4</v>
      </c>
      <c r="AD9" s="7">
        <f>_xlfn.NUMBERVALUE(tsh_bs!AD27)</f>
        <v>15.1</v>
      </c>
      <c r="AE9" s="7">
        <f>_xlfn.NUMBERVALUE(tsh_bs!AE27)</f>
        <v>15.1</v>
      </c>
      <c r="AF9" s="7">
        <f>_xlfn.NUMBERVALUE(tsh_bs!AF27)</f>
        <v>14.6</v>
      </c>
      <c r="AG9" s="7">
        <f>_xlfn.NUMBERVALUE(tsh_bs!AG27)</f>
        <v>14.6</v>
      </c>
      <c r="AH9" s="7">
        <f>_xlfn.NUMBERVALUE(tsh_bs!AH27)</f>
        <v>14.1</v>
      </c>
      <c r="AI9" s="7">
        <f>_xlfn.NUMBERVALUE(tsh_bs!AI27)</f>
        <v>14.1</v>
      </c>
      <c r="AJ9" s="7">
        <f>_xlfn.NUMBERVALUE(tsh_bs!AJ27)</f>
        <v>14.1</v>
      </c>
      <c r="AK9" s="7">
        <f>_xlfn.NUMBERVALUE(tsh_bs!AK27)</f>
        <v>14.1</v>
      </c>
      <c r="AL9" s="7"/>
      <c r="AM9" s="7"/>
      <c r="AN9" s="7"/>
      <c r="AO9" s="7"/>
      <c r="AP9" s="7"/>
      <c r="AQ9" s="7"/>
    </row>
    <row r="10" spans="1:43" x14ac:dyDescent="0.2">
      <c r="A10" s="6" t="s">
        <v>55</v>
      </c>
      <c r="D10" s="7">
        <f>_xlfn.NUMBERVALUE(SUM(tsh_bs!D24:D25))</f>
        <v>0</v>
      </c>
      <c r="E10" s="7">
        <f>_xlfn.NUMBERVALUE(SUM(tsh_bs!E24:E25))</f>
        <v>0</v>
      </c>
      <c r="F10" s="7">
        <f>_xlfn.NUMBERVALUE(SUM(tsh_bs!F24:F25))</f>
        <v>0</v>
      </c>
      <c r="G10" s="7">
        <f>_xlfn.NUMBERVALUE(SUM(tsh_bs!G24:G25))</f>
        <v>0</v>
      </c>
      <c r="H10" s="7">
        <f>_xlfn.NUMBERVALUE(SUM(tsh_bs!H24:H25))</f>
        <v>0</v>
      </c>
      <c r="I10" s="7">
        <f>_xlfn.NUMBERVALUE(SUM(tsh_bs!I24:I25))</f>
        <v>0</v>
      </c>
      <c r="J10" s="7">
        <f>_xlfn.NUMBERVALUE(SUM(tsh_bs!J24:J25))</f>
        <v>0</v>
      </c>
      <c r="K10" s="7">
        <f>_xlfn.NUMBERVALUE(SUM(tsh_bs!K24:K25))</f>
        <v>0</v>
      </c>
      <c r="L10" s="7">
        <f>_xlfn.NUMBERVALUE(SUM(tsh_bs!L24:L25))</f>
        <v>0</v>
      </c>
      <c r="M10" s="7">
        <f>_xlfn.NUMBERVALUE(SUM(tsh_bs!M24:M25))</f>
        <v>0</v>
      </c>
      <c r="N10" s="7">
        <f>_xlfn.NUMBERVALUE(SUM(tsh_bs!N24:N25))</f>
        <v>0</v>
      </c>
      <c r="O10" s="7">
        <f>_xlfn.NUMBERVALUE(SUM(tsh_bs!O24:O25))</f>
        <v>0</v>
      </c>
      <c r="P10" s="7">
        <f>_xlfn.NUMBERVALUE(SUM(tsh_bs!P24:P25))</f>
        <v>0</v>
      </c>
      <c r="Q10" s="7">
        <f>_xlfn.NUMBERVALUE(SUM(tsh_bs!Q24:Q25))</f>
        <v>0</v>
      </c>
      <c r="R10" s="7">
        <f>_xlfn.NUMBERVALUE(SUM(tsh_bs!R24:R25))</f>
        <v>0</v>
      </c>
      <c r="S10" s="7">
        <f>_xlfn.NUMBERVALUE(SUM(tsh_bs!S24:S25))</f>
        <v>0</v>
      </c>
      <c r="T10" s="7">
        <f>_xlfn.NUMBERVALUE(SUM(tsh_bs!T24:T25))</f>
        <v>0</v>
      </c>
      <c r="U10" s="7">
        <f>_xlfn.NUMBERVALUE(SUM(tsh_bs!U24:U25))</f>
        <v>0</v>
      </c>
      <c r="V10" s="7">
        <f>_xlfn.NUMBERVALUE(SUM(tsh_bs!V24:V25))</f>
        <v>0</v>
      </c>
      <c r="W10" s="7">
        <f>_xlfn.NUMBERVALUE(SUM(tsh_bs!W24:W25))</f>
        <v>0</v>
      </c>
      <c r="X10" s="7">
        <f>_xlfn.NUMBERVALUE(SUM(tsh_bs!X24:X25))</f>
        <v>0</v>
      </c>
      <c r="Y10" s="7">
        <f>_xlfn.NUMBERVALUE(SUM(tsh_bs!Y24:Y25))</f>
        <v>0</v>
      </c>
      <c r="Z10" s="7">
        <f>_xlfn.NUMBERVALUE(SUM(tsh_bs!Z24:Z25))</f>
        <v>0</v>
      </c>
      <c r="AA10" s="7">
        <f>_xlfn.NUMBERVALUE(SUM(tsh_bs!AA24:AA25))</f>
        <v>0</v>
      </c>
      <c r="AB10" s="7">
        <f>_xlfn.NUMBERVALUE(SUM(tsh_bs!AB24:AB25))</f>
        <v>0</v>
      </c>
      <c r="AC10" s="7">
        <f>_xlfn.NUMBERVALUE(SUM(tsh_bs!AC24:AC25))</f>
        <v>0</v>
      </c>
      <c r="AD10" s="7">
        <f>_xlfn.NUMBERVALUE(SUM(tsh_bs!AD24:AD25))</f>
        <v>0</v>
      </c>
      <c r="AE10" s="7">
        <f>_xlfn.NUMBERVALUE(SUM(tsh_bs!AE24:AE25))</f>
        <v>0</v>
      </c>
      <c r="AF10" s="7">
        <f>_xlfn.NUMBERVALUE(SUM(tsh_bs!AF24:AF25))</f>
        <v>0</v>
      </c>
      <c r="AG10" s="7">
        <f>_xlfn.NUMBERVALUE(SUM(tsh_bs!AG24:AG25))</f>
        <v>0</v>
      </c>
      <c r="AH10" s="7">
        <f>_xlfn.NUMBERVALUE(SUM(tsh_bs!AH24:AH25))</f>
        <v>0</v>
      </c>
      <c r="AI10" s="7">
        <f>_xlfn.NUMBERVALUE(SUM(tsh_bs!AI24:AI25))</f>
        <v>0</v>
      </c>
      <c r="AJ10" s="7">
        <f>_xlfn.NUMBERVALUE(SUM(tsh_bs!AJ24:AJ25))</f>
        <v>0</v>
      </c>
      <c r="AK10" s="7">
        <f>_xlfn.NUMBERVALUE(SUM(tsh_bs!AK24:AK25))</f>
        <v>0</v>
      </c>
      <c r="AL10" s="7"/>
      <c r="AM10" s="7"/>
      <c r="AN10" s="7"/>
      <c r="AO10" s="7"/>
      <c r="AP10" s="7"/>
      <c r="AQ10" s="7"/>
    </row>
    <row r="12" spans="1:43" x14ac:dyDescent="0.2">
      <c r="A12" s="6" t="s">
        <v>56</v>
      </c>
      <c r="D12" s="7">
        <f>_xlfn.NUMBERVALUE(tsh_bs!D35)</f>
        <v>0</v>
      </c>
      <c r="E12" s="7">
        <f>_xlfn.NUMBERVALUE(tsh_bs!E35)</f>
        <v>0</v>
      </c>
      <c r="F12" s="7">
        <f>_xlfn.NUMBERVALUE(tsh_bs!F35)</f>
        <v>3</v>
      </c>
      <c r="G12" s="7">
        <f>_xlfn.NUMBERVALUE(tsh_bs!G35)</f>
        <v>3</v>
      </c>
      <c r="H12" s="7">
        <f>_xlfn.NUMBERVALUE(tsh_bs!H35)</f>
        <v>2.4</v>
      </c>
      <c r="I12" s="7">
        <f>_xlfn.NUMBERVALUE(tsh_bs!I35)</f>
        <v>2.4</v>
      </c>
      <c r="J12" s="7">
        <f>_xlfn.NUMBERVALUE(tsh_bs!J35)</f>
        <v>2.1</v>
      </c>
      <c r="K12" s="7">
        <f>_xlfn.NUMBERVALUE(tsh_bs!K35)</f>
        <v>2.1</v>
      </c>
      <c r="L12" s="7">
        <f>_xlfn.NUMBERVALUE(tsh_bs!L35)</f>
        <v>1.7</v>
      </c>
      <c r="M12" s="7">
        <f>_xlfn.NUMBERVALUE(tsh_bs!M35)</f>
        <v>1.7</v>
      </c>
      <c r="N12" s="7">
        <f>_xlfn.NUMBERVALUE(tsh_bs!N35)</f>
        <v>2.7</v>
      </c>
      <c r="O12" s="7">
        <f>_xlfn.NUMBERVALUE(tsh_bs!O35)</f>
        <v>2.7</v>
      </c>
      <c r="P12" s="7">
        <f>_xlfn.NUMBERVALUE(tsh_bs!P35)</f>
        <v>2.7</v>
      </c>
      <c r="Q12" s="7">
        <f>_xlfn.NUMBERVALUE(tsh_bs!Q35)</f>
        <v>2.7</v>
      </c>
      <c r="R12" s="7">
        <f>_xlfn.NUMBERVALUE(tsh_bs!R35)</f>
        <v>2.7</v>
      </c>
      <c r="S12" s="7">
        <f>_xlfn.NUMBERVALUE(tsh_bs!S35)</f>
        <v>2.7</v>
      </c>
      <c r="T12" s="7">
        <f>_xlfn.NUMBERVALUE(tsh_bs!T35)</f>
        <v>2.4</v>
      </c>
      <c r="U12" s="7">
        <f>_xlfn.NUMBERVALUE(tsh_bs!U35)</f>
        <v>2.4</v>
      </c>
      <c r="V12" s="7">
        <f>_xlfn.NUMBERVALUE(tsh_bs!V35)</f>
        <v>2.8</v>
      </c>
      <c r="W12" s="7">
        <f>_xlfn.NUMBERVALUE(tsh_bs!W35)</f>
        <v>2.8</v>
      </c>
      <c r="X12" s="7">
        <f>_xlfn.NUMBERVALUE(tsh_bs!X35)</f>
        <v>2.7</v>
      </c>
      <c r="Y12" s="7">
        <f>_xlfn.NUMBERVALUE(tsh_bs!Y35)</f>
        <v>2.7</v>
      </c>
      <c r="Z12" s="7">
        <f>_xlfn.NUMBERVALUE(tsh_bs!Z35)</f>
        <v>3.8</v>
      </c>
      <c r="AA12" s="7">
        <f>_xlfn.NUMBERVALUE(tsh_bs!AA35)</f>
        <v>3.8</v>
      </c>
      <c r="AB12" s="7">
        <f>_xlfn.NUMBERVALUE(tsh_bs!AB35)</f>
        <v>3.6</v>
      </c>
      <c r="AC12" s="7">
        <f>_xlfn.NUMBERVALUE(tsh_bs!AC35)</f>
        <v>3.6</v>
      </c>
      <c r="AD12" s="7">
        <f>_xlfn.NUMBERVALUE(tsh_bs!AD35)</f>
        <v>4.4000000000000004</v>
      </c>
      <c r="AE12" s="7">
        <f>_xlfn.NUMBERVALUE(tsh_bs!AE35)</f>
        <v>4.4000000000000004</v>
      </c>
      <c r="AF12" s="7">
        <f>_xlfn.NUMBERVALUE(tsh_bs!AF35)</f>
        <v>4.5999999999999996</v>
      </c>
      <c r="AG12" s="7">
        <f>_xlfn.NUMBERVALUE(tsh_bs!AG35)</f>
        <v>4.5999999999999996</v>
      </c>
      <c r="AH12" s="7">
        <f>_xlfn.NUMBERVALUE(tsh_bs!AH35)</f>
        <v>4.5</v>
      </c>
      <c r="AI12" s="7">
        <f>_xlfn.NUMBERVALUE(tsh_bs!AI35)</f>
        <v>4.5</v>
      </c>
      <c r="AJ12" s="7">
        <f>_xlfn.NUMBERVALUE(tsh_bs!AJ35)</f>
        <v>3.7</v>
      </c>
      <c r="AK12" s="7">
        <f>_xlfn.NUMBERVALUE(tsh_bs!AK35)</f>
        <v>3.7</v>
      </c>
      <c r="AL12" s="7"/>
      <c r="AM12" s="7"/>
      <c r="AN12" s="7"/>
      <c r="AO12" s="7"/>
      <c r="AP12" s="7"/>
      <c r="AQ12" s="7"/>
    </row>
    <row r="13" spans="1:43" x14ac:dyDescent="0.2">
      <c r="A13" s="6" t="s">
        <v>57</v>
      </c>
      <c r="D13" s="7">
        <f>_xlfn.NUMBERVALUE(tsh_bs!D40)</f>
        <v>0</v>
      </c>
      <c r="E13" s="7">
        <f>_xlfn.NUMBERVALUE(tsh_bs!E40)</f>
        <v>0</v>
      </c>
      <c r="F13" s="7">
        <f>_xlfn.NUMBERVALUE(tsh_bs!F40)</f>
        <v>3.1</v>
      </c>
      <c r="G13" s="7">
        <f>_xlfn.NUMBERVALUE(tsh_bs!G40)</f>
        <v>3.1</v>
      </c>
      <c r="H13" s="7">
        <f>_xlfn.NUMBERVALUE(tsh_bs!H40)</f>
        <v>2.5</v>
      </c>
      <c r="I13" s="7">
        <f>_xlfn.NUMBERVALUE(tsh_bs!I40)</f>
        <v>2.5</v>
      </c>
      <c r="J13" s="7">
        <f>_xlfn.NUMBERVALUE(tsh_bs!J40)</f>
        <v>2.2999999999999998</v>
      </c>
      <c r="K13" s="7">
        <f>_xlfn.NUMBERVALUE(tsh_bs!K40)</f>
        <v>2.2999999999999998</v>
      </c>
      <c r="L13" s="7">
        <f>_xlfn.NUMBERVALUE(tsh_bs!L40)</f>
        <v>3.4</v>
      </c>
      <c r="M13" s="7">
        <f>_xlfn.NUMBERVALUE(tsh_bs!M40)</f>
        <v>3.4</v>
      </c>
      <c r="N13" s="7">
        <f>_xlfn.NUMBERVALUE(tsh_bs!N40)</f>
        <v>4.2</v>
      </c>
      <c r="O13" s="7">
        <f>_xlfn.NUMBERVALUE(tsh_bs!O40)</f>
        <v>4.2</v>
      </c>
      <c r="P13" s="7">
        <f>_xlfn.NUMBERVALUE(tsh_bs!P40)</f>
        <v>3.7</v>
      </c>
      <c r="Q13" s="7">
        <f>_xlfn.NUMBERVALUE(tsh_bs!Q40)</f>
        <v>3.7</v>
      </c>
      <c r="R13" s="7">
        <f>_xlfn.NUMBERVALUE(tsh_bs!R40)</f>
        <v>3.3</v>
      </c>
      <c r="S13" s="7">
        <f>_xlfn.NUMBERVALUE(tsh_bs!S40)</f>
        <v>3.3</v>
      </c>
      <c r="T13" s="7">
        <f>_xlfn.NUMBERVALUE(tsh_bs!T40)</f>
        <v>5</v>
      </c>
      <c r="U13" s="7">
        <f>_xlfn.NUMBERVALUE(tsh_bs!U40)</f>
        <v>5</v>
      </c>
      <c r="V13" s="7">
        <f>_xlfn.NUMBERVALUE(tsh_bs!V40)</f>
        <v>5</v>
      </c>
      <c r="W13" s="7">
        <f>_xlfn.NUMBERVALUE(tsh_bs!W40)</f>
        <v>5</v>
      </c>
      <c r="X13" s="7">
        <f>_xlfn.NUMBERVALUE(tsh_bs!X40)</f>
        <v>4.7</v>
      </c>
      <c r="Y13" s="7">
        <f>_xlfn.NUMBERVALUE(tsh_bs!Y40)</f>
        <v>4.7</v>
      </c>
      <c r="Z13" s="7">
        <f>_xlfn.NUMBERVALUE(tsh_bs!Z40)</f>
        <v>7.2</v>
      </c>
      <c r="AA13" s="7">
        <f>_xlfn.NUMBERVALUE(tsh_bs!AA40)</f>
        <v>7.2</v>
      </c>
      <c r="AB13" s="7">
        <f>_xlfn.NUMBERVALUE(tsh_bs!AB40)</f>
        <v>6.7</v>
      </c>
      <c r="AC13" s="7">
        <f>_xlfn.NUMBERVALUE(tsh_bs!AC40)</f>
        <v>6.7</v>
      </c>
      <c r="AD13" s="7">
        <f>_xlfn.NUMBERVALUE(tsh_bs!AD40)</f>
        <v>7.4</v>
      </c>
      <c r="AE13" s="7">
        <f>_xlfn.NUMBERVALUE(tsh_bs!AE40)</f>
        <v>7.4</v>
      </c>
      <c r="AF13" s="7">
        <f>_xlfn.NUMBERVALUE(tsh_bs!AF40)</f>
        <v>6.5</v>
      </c>
      <c r="AG13" s="7">
        <f>_xlfn.NUMBERVALUE(tsh_bs!AG40)</f>
        <v>6.5</v>
      </c>
      <c r="AH13" s="7">
        <f>_xlfn.NUMBERVALUE(tsh_bs!AH40)</f>
        <v>5.5</v>
      </c>
      <c r="AI13" s="7">
        <f>_xlfn.NUMBERVALUE(tsh_bs!AI40)</f>
        <v>5.5</v>
      </c>
      <c r="AJ13" s="7">
        <f>_xlfn.NUMBERVALUE(tsh_bs!AJ40)</f>
        <v>4.4000000000000004</v>
      </c>
      <c r="AK13" s="7">
        <f>_xlfn.NUMBERVALUE(tsh_bs!AK40)</f>
        <v>4.4000000000000004</v>
      </c>
      <c r="AL13" s="7"/>
      <c r="AM13" s="7"/>
      <c r="AN13" s="7"/>
      <c r="AO13" s="7"/>
      <c r="AP13" s="7"/>
      <c r="AQ13" s="7"/>
    </row>
    <row r="15" spans="1:43" x14ac:dyDescent="0.2">
      <c r="A15" s="6" t="s">
        <v>58</v>
      </c>
      <c r="D15" s="7">
        <f>_xlfn.NUMBERVALUE(tsh_bs!D32)+_xlfn.NUMBERVALUE(tsh_bs!D37)+_xlfn.NUMBERVALUE(tsh_bs!D31)</f>
        <v>0</v>
      </c>
      <c r="E15" s="7">
        <f>_xlfn.NUMBERVALUE(tsh_bs!E32)+_xlfn.NUMBERVALUE(tsh_bs!E37)+_xlfn.NUMBERVALUE(tsh_bs!E31)</f>
        <v>0</v>
      </c>
      <c r="F15" s="7">
        <f>_xlfn.NUMBERVALUE(tsh_bs!F32)+_xlfn.NUMBERVALUE(tsh_bs!F37)+_xlfn.NUMBERVALUE(tsh_bs!F31)</f>
        <v>2.2999999999999998</v>
      </c>
      <c r="G15" s="7">
        <f>_xlfn.NUMBERVALUE(tsh_bs!G32)+_xlfn.NUMBERVALUE(tsh_bs!G37)+_xlfn.NUMBERVALUE(tsh_bs!G31)</f>
        <v>2.2999999999999998</v>
      </c>
      <c r="H15" s="7">
        <f>_xlfn.NUMBERVALUE(tsh_bs!H32)+_xlfn.NUMBERVALUE(tsh_bs!H37)+_xlfn.NUMBERVALUE(tsh_bs!H31)</f>
        <v>1.7</v>
      </c>
      <c r="I15" s="7">
        <f>_xlfn.NUMBERVALUE(tsh_bs!I32)+_xlfn.NUMBERVALUE(tsh_bs!I37)+_xlfn.NUMBERVALUE(tsh_bs!I31)</f>
        <v>1.7</v>
      </c>
      <c r="J15" s="7">
        <f>_xlfn.NUMBERVALUE(tsh_bs!J32)+_xlfn.NUMBERVALUE(tsh_bs!J37)+_xlfn.NUMBERVALUE(tsh_bs!J31)</f>
        <v>0.7</v>
      </c>
      <c r="K15" s="7">
        <f>_xlfn.NUMBERVALUE(tsh_bs!K32)+_xlfn.NUMBERVALUE(tsh_bs!K37)+_xlfn.NUMBERVALUE(tsh_bs!K31)</f>
        <v>0.7</v>
      </c>
      <c r="L15" s="7">
        <f>_xlfn.NUMBERVALUE(tsh_bs!L32)+_xlfn.NUMBERVALUE(tsh_bs!L37)+_xlfn.NUMBERVALUE(tsh_bs!L31)</f>
        <v>0</v>
      </c>
      <c r="M15" s="7">
        <f>_xlfn.NUMBERVALUE(tsh_bs!M32)+_xlfn.NUMBERVALUE(tsh_bs!M37)+_xlfn.NUMBERVALUE(tsh_bs!M31)</f>
        <v>0</v>
      </c>
      <c r="N15" s="7">
        <f>_xlfn.NUMBERVALUE(tsh_bs!N32)+_xlfn.NUMBERVALUE(tsh_bs!N37)+_xlfn.NUMBERVALUE(tsh_bs!N31)</f>
        <v>0</v>
      </c>
      <c r="O15" s="7">
        <f>_xlfn.NUMBERVALUE(tsh_bs!O32)+_xlfn.NUMBERVALUE(tsh_bs!O37)+_xlfn.NUMBERVALUE(tsh_bs!O31)</f>
        <v>0</v>
      </c>
      <c r="P15" s="7">
        <f>_xlfn.NUMBERVALUE(tsh_bs!P32)+_xlfn.NUMBERVALUE(tsh_bs!P37)+_xlfn.NUMBERVALUE(tsh_bs!P31)</f>
        <v>0</v>
      </c>
      <c r="Q15" s="7">
        <f>_xlfn.NUMBERVALUE(tsh_bs!Q32)+_xlfn.NUMBERVALUE(tsh_bs!Q37)+_xlfn.NUMBERVALUE(tsh_bs!Q31)</f>
        <v>0</v>
      </c>
      <c r="R15" s="7">
        <f>_xlfn.NUMBERVALUE(tsh_bs!R32)+_xlfn.NUMBERVALUE(tsh_bs!R37)+_xlfn.NUMBERVALUE(tsh_bs!R31)</f>
        <v>0</v>
      </c>
      <c r="S15" s="7">
        <f>_xlfn.NUMBERVALUE(tsh_bs!S32)+_xlfn.NUMBERVALUE(tsh_bs!S37)+_xlfn.NUMBERVALUE(tsh_bs!S31)</f>
        <v>0</v>
      </c>
      <c r="T15" s="7">
        <f>_xlfn.NUMBERVALUE(tsh_bs!T32)+_xlfn.NUMBERVALUE(tsh_bs!T37)+_xlfn.NUMBERVALUE(tsh_bs!T31)</f>
        <v>2.5</v>
      </c>
      <c r="U15" s="7">
        <f>_xlfn.NUMBERVALUE(tsh_bs!U32)+_xlfn.NUMBERVALUE(tsh_bs!U37)+_xlfn.NUMBERVALUE(tsh_bs!U31)</f>
        <v>2.5</v>
      </c>
      <c r="V15" s="7">
        <f>_xlfn.NUMBERVALUE(tsh_bs!V32)+_xlfn.NUMBERVALUE(tsh_bs!V37)+_xlfn.NUMBERVALUE(tsh_bs!V31)</f>
        <v>2.5</v>
      </c>
      <c r="W15" s="7">
        <f>_xlfn.NUMBERVALUE(tsh_bs!W32)+_xlfn.NUMBERVALUE(tsh_bs!W37)+_xlfn.NUMBERVALUE(tsh_bs!W31)</f>
        <v>2.5</v>
      </c>
      <c r="X15" s="7">
        <f>_xlfn.NUMBERVALUE(tsh_bs!X32)+_xlfn.NUMBERVALUE(tsh_bs!X37)+_xlfn.NUMBERVALUE(tsh_bs!X31)</f>
        <v>2.2000000000000002</v>
      </c>
      <c r="Y15" s="7">
        <f>_xlfn.NUMBERVALUE(tsh_bs!Y32)+_xlfn.NUMBERVALUE(tsh_bs!Y37)+_xlfn.NUMBERVALUE(tsh_bs!Y31)</f>
        <v>2.2000000000000002</v>
      </c>
      <c r="Z15" s="7">
        <f>_xlfn.NUMBERVALUE(tsh_bs!Z32)+_xlfn.NUMBERVALUE(tsh_bs!Z37)+_xlfn.NUMBERVALUE(tsh_bs!Z31)</f>
        <v>1.9</v>
      </c>
      <c r="AA15" s="7">
        <f>_xlfn.NUMBERVALUE(tsh_bs!AA32)+_xlfn.NUMBERVALUE(tsh_bs!AA37)+_xlfn.NUMBERVALUE(tsh_bs!AA31)</f>
        <v>1.9</v>
      </c>
      <c r="AB15" s="7">
        <f>_xlfn.NUMBERVALUE(tsh_bs!AB32)+_xlfn.NUMBERVALUE(tsh_bs!AB37)+_xlfn.NUMBERVALUE(tsh_bs!AB31)</f>
        <v>1.6</v>
      </c>
      <c r="AC15" s="7">
        <f>_xlfn.NUMBERVALUE(tsh_bs!AC32)+_xlfn.NUMBERVALUE(tsh_bs!AC37)+_xlfn.NUMBERVALUE(tsh_bs!AC31)</f>
        <v>1.6</v>
      </c>
      <c r="AD15" s="7">
        <f>_xlfn.NUMBERVALUE(tsh_bs!AD32)+_xlfn.NUMBERVALUE(tsh_bs!AD37)+_xlfn.NUMBERVALUE(tsh_bs!AD31)</f>
        <v>1.2999999999999998</v>
      </c>
      <c r="AE15" s="7">
        <f>_xlfn.NUMBERVALUE(tsh_bs!AE32)+_xlfn.NUMBERVALUE(tsh_bs!AE37)+_xlfn.NUMBERVALUE(tsh_bs!AE31)</f>
        <v>1.2999999999999998</v>
      </c>
      <c r="AF15" s="7">
        <f>_xlfn.NUMBERVALUE(tsh_bs!AF32)+_xlfn.NUMBERVALUE(tsh_bs!AF37)+_xlfn.NUMBERVALUE(tsh_bs!AF31)</f>
        <v>1</v>
      </c>
      <c r="AG15" s="7">
        <f>_xlfn.NUMBERVALUE(tsh_bs!AG32)+_xlfn.NUMBERVALUE(tsh_bs!AG37)+_xlfn.NUMBERVALUE(tsh_bs!AG31)</f>
        <v>1</v>
      </c>
      <c r="AH15" s="7">
        <f>_xlfn.NUMBERVALUE(tsh_bs!AH32)+_xlfn.NUMBERVALUE(tsh_bs!AH37)+_xlfn.NUMBERVALUE(tsh_bs!AH31)</f>
        <v>0.7</v>
      </c>
      <c r="AI15" s="7">
        <f>_xlfn.NUMBERVALUE(tsh_bs!AI32)+_xlfn.NUMBERVALUE(tsh_bs!AI37)+_xlfn.NUMBERVALUE(tsh_bs!AI31)</f>
        <v>0.7</v>
      </c>
      <c r="AJ15" s="7">
        <f>_xlfn.NUMBERVALUE(tsh_bs!AJ32)+_xlfn.NUMBERVALUE(tsh_bs!AJ37)+_xlfn.NUMBERVALUE(tsh_bs!AJ31)</f>
        <v>0.4</v>
      </c>
      <c r="AK15" s="7">
        <f>_xlfn.NUMBERVALUE(tsh_bs!AK32)+_xlfn.NUMBERVALUE(tsh_bs!AK37)+_xlfn.NUMBERVALUE(tsh_bs!AK31)</f>
        <v>0.4</v>
      </c>
      <c r="AL15" s="7"/>
      <c r="AM15" s="7"/>
      <c r="AN15" s="7"/>
      <c r="AO15" s="7"/>
      <c r="AP15" s="7"/>
      <c r="AQ15" s="7"/>
    </row>
    <row r="16" spans="1:43" x14ac:dyDescent="0.2">
      <c r="A16" s="6" t="s">
        <v>59</v>
      </c>
      <c r="D16" s="7">
        <f>_xlfn.NUMBERVALUE(tsh_bs!D51)</f>
        <v>0.7</v>
      </c>
      <c r="E16" s="7">
        <f>_xlfn.NUMBERVALUE(tsh_bs!E51)</f>
        <v>0</v>
      </c>
      <c r="F16" s="7">
        <f>_xlfn.NUMBERVALUE(tsh_bs!F51)</f>
        <v>1.8</v>
      </c>
      <c r="G16" s="7">
        <f>_xlfn.NUMBERVALUE(tsh_bs!G51)</f>
        <v>1.8</v>
      </c>
      <c r="H16" s="7">
        <f>_xlfn.NUMBERVALUE(tsh_bs!H51)</f>
        <v>2.4</v>
      </c>
      <c r="I16" s="7">
        <f>_xlfn.NUMBERVALUE(tsh_bs!I51)</f>
        <v>2.4</v>
      </c>
      <c r="J16" s="7">
        <f>_xlfn.NUMBERVALUE(tsh_bs!J51)</f>
        <v>3.6</v>
      </c>
      <c r="K16" s="7">
        <f>_xlfn.NUMBERVALUE(tsh_bs!K51)</f>
        <v>3.6</v>
      </c>
      <c r="L16" s="7">
        <f>_xlfn.NUMBERVALUE(tsh_bs!L51)</f>
        <v>8.5</v>
      </c>
      <c r="M16" s="7">
        <f>_xlfn.NUMBERVALUE(tsh_bs!M51)</f>
        <v>8.5</v>
      </c>
      <c r="N16" s="7">
        <f>_xlfn.NUMBERVALUE(tsh_bs!N51)</f>
        <v>8.8000000000000007</v>
      </c>
      <c r="O16" s="7">
        <f>_xlfn.NUMBERVALUE(tsh_bs!O51)</f>
        <v>8.8000000000000007</v>
      </c>
      <c r="P16" s="7">
        <f>_xlfn.NUMBERVALUE(tsh_bs!P51)</f>
        <v>8.1999999999999993</v>
      </c>
      <c r="Q16" s="7">
        <f>_xlfn.NUMBERVALUE(tsh_bs!Q51)</f>
        <v>8.1999999999999993</v>
      </c>
      <c r="R16" s="7">
        <f>_xlfn.NUMBERVALUE(tsh_bs!R51)</f>
        <v>6.8</v>
      </c>
      <c r="S16" s="7">
        <f>_xlfn.NUMBERVALUE(tsh_bs!S51)</f>
        <v>6.8</v>
      </c>
      <c r="T16" s="7">
        <f>_xlfn.NUMBERVALUE(tsh_bs!T51)</f>
        <v>7</v>
      </c>
      <c r="U16" s="7">
        <f>_xlfn.NUMBERVALUE(tsh_bs!U51)</f>
        <v>7</v>
      </c>
      <c r="V16" s="7">
        <f>_xlfn.NUMBERVALUE(tsh_bs!V51)</f>
        <v>6.5</v>
      </c>
      <c r="W16" s="7">
        <f>_xlfn.NUMBERVALUE(tsh_bs!W51)</f>
        <v>6.5</v>
      </c>
      <c r="X16" s="7">
        <f>_xlfn.NUMBERVALUE(tsh_bs!X51)</f>
        <v>6.8</v>
      </c>
      <c r="Y16" s="7">
        <f>_xlfn.NUMBERVALUE(tsh_bs!Y51)</f>
        <v>6.8</v>
      </c>
      <c r="Z16" s="7">
        <f>_xlfn.NUMBERVALUE(tsh_bs!Z51)</f>
        <v>7.3</v>
      </c>
      <c r="AA16" s="7">
        <f>_xlfn.NUMBERVALUE(tsh_bs!AA51)</f>
        <v>7.3</v>
      </c>
      <c r="AB16" s="7">
        <f>_xlfn.NUMBERVALUE(tsh_bs!AB51)</f>
        <v>7.6</v>
      </c>
      <c r="AC16" s="7">
        <f>_xlfn.NUMBERVALUE(tsh_bs!AC51)</f>
        <v>7.6</v>
      </c>
      <c r="AD16" s="7">
        <f>_xlfn.NUMBERVALUE(tsh_bs!AD51)</f>
        <v>7.7</v>
      </c>
      <c r="AE16" s="7">
        <f>_xlfn.NUMBERVALUE(tsh_bs!AE51)</f>
        <v>7.7</v>
      </c>
      <c r="AF16" s="7">
        <f>_xlfn.NUMBERVALUE(tsh_bs!AF51)</f>
        <v>8</v>
      </c>
      <c r="AG16" s="7">
        <f>_xlfn.NUMBERVALUE(tsh_bs!AG51)</f>
        <v>8</v>
      </c>
      <c r="AH16" s="7">
        <f>_xlfn.NUMBERVALUE(tsh_bs!AH51)</f>
        <v>8.6</v>
      </c>
      <c r="AI16" s="7">
        <f>_xlfn.NUMBERVALUE(tsh_bs!AI51)</f>
        <v>8.6</v>
      </c>
      <c r="AJ16" s="7">
        <f>_xlfn.NUMBERVALUE(tsh_bs!AJ51)</f>
        <v>9.6999999999999993</v>
      </c>
      <c r="AK16" s="7">
        <f>_xlfn.NUMBERVALUE(tsh_bs!AK51)</f>
        <v>9.6999999999999993</v>
      </c>
      <c r="AL16" s="7"/>
      <c r="AM16" s="7"/>
      <c r="AN16" s="7"/>
      <c r="AO16" s="7"/>
      <c r="AP16" s="7"/>
      <c r="AQ16" s="7"/>
    </row>
    <row r="18" spans="1:43" x14ac:dyDescent="0.2">
      <c r="A18" s="6" t="s">
        <v>60</v>
      </c>
      <c r="D18" s="8">
        <f t="shared" ref="D18:AK18" si="1">D9-D10-D13</f>
        <v>0</v>
      </c>
      <c r="E18" s="8">
        <f t="shared" si="1"/>
        <v>0</v>
      </c>
      <c r="F18" s="8">
        <f t="shared" si="1"/>
        <v>1.8000000000000003</v>
      </c>
      <c r="G18" s="8">
        <f t="shared" si="1"/>
        <v>1.8000000000000003</v>
      </c>
      <c r="H18" s="8">
        <f t="shared" si="1"/>
        <v>2.4000000000000004</v>
      </c>
      <c r="I18" s="8">
        <f t="shared" si="1"/>
        <v>2.4000000000000004</v>
      </c>
      <c r="J18" s="8">
        <f t="shared" si="1"/>
        <v>3.6000000000000005</v>
      </c>
      <c r="K18" s="8">
        <f t="shared" si="1"/>
        <v>3.6000000000000005</v>
      </c>
      <c r="L18" s="8">
        <f t="shared" si="1"/>
        <v>8.5</v>
      </c>
      <c r="M18" s="8">
        <f t="shared" si="1"/>
        <v>8.5</v>
      </c>
      <c r="N18" s="8">
        <f t="shared" si="1"/>
        <v>8.6999999999999993</v>
      </c>
      <c r="O18" s="8">
        <f t="shared" si="1"/>
        <v>8.6999999999999993</v>
      </c>
      <c r="P18" s="8">
        <f t="shared" si="1"/>
        <v>8.1000000000000014</v>
      </c>
      <c r="Q18" s="8">
        <f t="shared" si="1"/>
        <v>8.1000000000000014</v>
      </c>
      <c r="R18" s="8">
        <f t="shared" si="1"/>
        <v>6.8999999999999995</v>
      </c>
      <c r="S18" s="8">
        <f t="shared" si="1"/>
        <v>6.8999999999999995</v>
      </c>
      <c r="T18" s="8">
        <f t="shared" si="1"/>
        <v>7</v>
      </c>
      <c r="U18" s="8">
        <f t="shared" si="1"/>
        <v>7</v>
      </c>
      <c r="V18" s="8">
        <f t="shared" si="1"/>
        <v>6.5</v>
      </c>
      <c r="W18" s="8">
        <f t="shared" si="1"/>
        <v>6.5</v>
      </c>
      <c r="X18" s="8">
        <f t="shared" si="1"/>
        <v>6.8</v>
      </c>
      <c r="Y18" s="8">
        <f t="shared" si="1"/>
        <v>6.8</v>
      </c>
      <c r="Z18" s="8">
        <f t="shared" si="1"/>
        <v>7.3</v>
      </c>
      <c r="AA18" s="8">
        <f t="shared" si="1"/>
        <v>7.3</v>
      </c>
      <c r="AB18" s="8">
        <f t="shared" si="1"/>
        <v>7.7</v>
      </c>
      <c r="AC18" s="8">
        <f t="shared" si="1"/>
        <v>7.7</v>
      </c>
      <c r="AD18" s="8">
        <f t="shared" si="1"/>
        <v>7.6999999999999993</v>
      </c>
      <c r="AE18" s="8">
        <f t="shared" si="1"/>
        <v>7.6999999999999993</v>
      </c>
      <c r="AF18" s="8">
        <f t="shared" si="1"/>
        <v>8.1</v>
      </c>
      <c r="AG18" s="8">
        <f t="shared" si="1"/>
        <v>8.1</v>
      </c>
      <c r="AH18" s="8">
        <f t="shared" si="1"/>
        <v>8.6</v>
      </c>
      <c r="AI18" s="8">
        <f t="shared" si="1"/>
        <v>8.6</v>
      </c>
      <c r="AJ18" s="8">
        <f t="shared" si="1"/>
        <v>9.6999999999999993</v>
      </c>
      <c r="AK18" s="8">
        <f t="shared" si="1"/>
        <v>9.6999999999999993</v>
      </c>
      <c r="AL18" s="8"/>
      <c r="AM18" s="8"/>
      <c r="AN18" s="8"/>
      <c r="AO18" s="8"/>
      <c r="AP18" s="8"/>
      <c r="AQ18" s="8"/>
    </row>
    <row r="20" spans="1:43" x14ac:dyDescent="0.2">
      <c r="A20" s="6" t="s">
        <v>61</v>
      </c>
      <c r="D20" s="28">
        <f>_xlfn.NUMBERVALUE(tsh_IS!D40)</f>
        <v>0</v>
      </c>
      <c r="E20" s="28">
        <f>_xlfn.NUMBERVALUE(tsh_IS!E40)</f>
        <v>0</v>
      </c>
      <c r="F20" s="28">
        <f>_xlfn.NUMBERVALUE(tsh_IS!F40)</f>
        <v>0</v>
      </c>
      <c r="G20" s="28">
        <f>_xlfn.NUMBERVALUE(tsh_IS!G40)</f>
        <v>0</v>
      </c>
      <c r="H20" s="28">
        <f>_xlfn.NUMBERVALUE(tsh_IS!H40)</f>
        <v>32.299999999999997</v>
      </c>
      <c r="I20" s="28">
        <f>_xlfn.NUMBERVALUE(tsh_IS!I40)</f>
        <v>32.299999999999997</v>
      </c>
      <c r="J20" s="28">
        <f>_xlfn.NUMBERVALUE(tsh_IS!J40)</f>
        <v>32.299999999999997</v>
      </c>
      <c r="K20" s="28">
        <f>_xlfn.NUMBERVALUE(tsh_IS!K40)</f>
        <v>32.299999999999997</v>
      </c>
      <c r="L20" s="28">
        <f>_xlfn.NUMBERVALUE(tsh_IS!L40)</f>
        <v>42.4</v>
      </c>
      <c r="M20" s="28">
        <f>_xlfn.NUMBERVALUE(tsh_IS!M40)</f>
        <v>42.4</v>
      </c>
      <c r="N20" s="28">
        <f>_xlfn.NUMBERVALUE(tsh_IS!N40)</f>
        <v>44.4</v>
      </c>
      <c r="O20" s="28">
        <f>_xlfn.NUMBERVALUE(tsh_IS!O40)</f>
        <v>44.4</v>
      </c>
      <c r="P20" s="28">
        <f>_xlfn.NUMBERVALUE(tsh_IS!P40)</f>
        <v>44.4</v>
      </c>
      <c r="Q20" s="28">
        <f>_xlfn.NUMBERVALUE(tsh_IS!Q40)</f>
        <v>44.4</v>
      </c>
      <c r="R20" s="28">
        <f>_xlfn.NUMBERVALUE(tsh_IS!R40)</f>
        <v>44.4</v>
      </c>
      <c r="S20" s="28">
        <f>_xlfn.NUMBERVALUE(tsh_IS!S40)</f>
        <v>44.4</v>
      </c>
      <c r="T20" s="28">
        <f>_xlfn.NUMBERVALUE(tsh_IS!T40)</f>
        <v>44.4</v>
      </c>
      <c r="U20" s="28">
        <f>_xlfn.NUMBERVALUE(tsh_IS!U40)</f>
        <v>44.4</v>
      </c>
      <c r="V20" s="28">
        <f>_xlfn.NUMBERVALUE(tsh_IS!V40)</f>
        <v>44.4</v>
      </c>
      <c r="W20" s="28">
        <f>_xlfn.NUMBERVALUE(tsh_IS!W40)</f>
        <v>44.4</v>
      </c>
      <c r="X20" s="28">
        <f>_xlfn.NUMBERVALUE(tsh_IS!X40)</f>
        <v>44.4</v>
      </c>
      <c r="Y20" s="28">
        <f>_xlfn.NUMBERVALUE(tsh_IS!Y40)</f>
        <v>44.4</v>
      </c>
      <c r="Z20" s="28">
        <f>_xlfn.NUMBERVALUE(tsh_IS!Z40)</f>
        <v>44.4</v>
      </c>
      <c r="AA20" s="28">
        <f>_xlfn.NUMBERVALUE(tsh_IS!AA40)</f>
        <v>44.4</v>
      </c>
      <c r="AB20" s="28">
        <f>_xlfn.NUMBERVALUE(tsh_IS!AB40)</f>
        <v>44.4</v>
      </c>
      <c r="AC20" s="28">
        <f>_xlfn.NUMBERVALUE(tsh_IS!AC40)</f>
        <v>44.4</v>
      </c>
      <c r="AD20" s="28">
        <f>_xlfn.NUMBERVALUE(tsh_IS!AD40)</f>
        <v>44.4</v>
      </c>
      <c r="AE20" s="28">
        <f>_xlfn.NUMBERVALUE(tsh_IS!AE40)</f>
        <v>44.4</v>
      </c>
      <c r="AF20" s="28">
        <f>_xlfn.NUMBERVALUE(tsh_IS!AF40)</f>
        <v>44.4</v>
      </c>
      <c r="AG20" s="28">
        <f>_xlfn.NUMBERVALUE(tsh_IS!AG40)</f>
        <v>44.4</v>
      </c>
      <c r="AH20" s="28">
        <f>_xlfn.NUMBERVALUE(tsh_IS!AH40)</f>
        <v>44.4</v>
      </c>
      <c r="AI20" s="28">
        <f>_xlfn.NUMBERVALUE(tsh_IS!AI40)</f>
        <v>44.4</v>
      </c>
      <c r="AJ20" s="28">
        <f>_xlfn.NUMBERVALUE(tsh_IS!AJ40)</f>
        <v>44.4</v>
      </c>
      <c r="AK20" s="28">
        <f>_xlfn.NUMBERVALUE(tsh_IS!AK40)</f>
        <v>44.4</v>
      </c>
      <c r="AL20" s="28"/>
      <c r="AM20" s="28"/>
      <c r="AN20" s="28"/>
      <c r="AO20" s="28"/>
      <c r="AP20" s="28"/>
      <c r="AQ20" s="28"/>
    </row>
    <row r="22" spans="1:43" x14ac:dyDescent="0.2">
      <c r="A22" s="6" t="s">
        <v>62</v>
      </c>
      <c r="D22" s="21" t="str">
        <f t="shared" ref="D22:AK22" si="2">IF(D2-D13&gt;0,D2-D13, "NA")</f>
        <v>NA</v>
      </c>
      <c r="E22" s="21" t="str">
        <f t="shared" si="2"/>
        <v>NA</v>
      </c>
      <c r="F22" s="21" t="str">
        <f t="shared" si="2"/>
        <v>NA</v>
      </c>
      <c r="G22" s="21" t="str">
        <f t="shared" si="2"/>
        <v>NA</v>
      </c>
      <c r="H22" s="21" t="str">
        <f t="shared" si="2"/>
        <v>NA</v>
      </c>
      <c r="I22" s="21" t="str">
        <f t="shared" si="2"/>
        <v>NA</v>
      </c>
      <c r="J22" s="21" t="str">
        <f t="shared" si="2"/>
        <v>NA</v>
      </c>
      <c r="K22" s="21" t="str">
        <f t="shared" si="2"/>
        <v>NA</v>
      </c>
      <c r="L22" s="21">
        <f t="shared" si="2"/>
        <v>2.0000000000000004</v>
      </c>
      <c r="M22" s="21">
        <f t="shared" si="2"/>
        <v>2.0000000000000004</v>
      </c>
      <c r="N22" s="21">
        <f t="shared" si="2"/>
        <v>1.5999999999999996</v>
      </c>
      <c r="O22" s="21">
        <f t="shared" si="2"/>
        <v>1.5999999999999996</v>
      </c>
      <c r="P22" s="21">
        <f t="shared" si="2"/>
        <v>1.0999999999999996</v>
      </c>
      <c r="Q22" s="21">
        <f t="shared" si="2"/>
        <v>1.0999999999999996</v>
      </c>
      <c r="R22" s="21">
        <f t="shared" si="2"/>
        <v>1.2000000000000002</v>
      </c>
      <c r="S22" s="21">
        <f t="shared" si="2"/>
        <v>1.2000000000000002</v>
      </c>
      <c r="T22" s="21">
        <f t="shared" si="2"/>
        <v>0.90000000000000036</v>
      </c>
      <c r="U22" s="21">
        <f t="shared" si="2"/>
        <v>0.90000000000000036</v>
      </c>
      <c r="V22" s="21" t="str">
        <f t="shared" si="2"/>
        <v>NA</v>
      </c>
      <c r="W22" s="29" t="str">
        <f t="shared" si="2"/>
        <v>NA</v>
      </c>
      <c r="X22" s="29" t="str">
        <f t="shared" si="2"/>
        <v>NA</v>
      </c>
      <c r="Y22" s="29" t="str">
        <f t="shared" si="2"/>
        <v>NA</v>
      </c>
      <c r="Z22" s="29" t="str">
        <f t="shared" si="2"/>
        <v>NA</v>
      </c>
      <c r="AA22" s="29" t="str">
        <f t="shared" si="2"/>
        <v>NA</v>
      </c>
      <c r="AB22" s="29" t="str">
        <f t="shared" si="2"/>
        <v>NA</v>
      </c>
      <c r="AC22" s="29" t="str">
        <f t="shared" si="2"/>
        <v>NA</v>
      </c>
      <c r="AD22" s="29" t="str">
        <f t="shared" si="2"/>
        <v>NA</v>
      </c>
      <c r="AE22" s="29" t="str">
        <f t="shared" si="2"/>
        <v>NA</v>
      </c>
      <c r="AF22" s="29" t="str">
        <f t="shared" si="2"/>
        <v>NA</v>
      </c>
      <c r="AG22" s="29" t="str">
        <f t="shared" si="2"/>
        <v>NA</v>
      </c>
      <c r="AH22" s="29" t="str">
        <f t="shared" si="2"/>
        <v>NA</v>
      </c>
      <c r="AI22" s="29" t="str">
        <f t="shared" si="2"/>
        <v>NA</v>
      </c>
      <c r="AJ22" s="29" t="str">
        <f t="shared" si="2"/>
        <v>NA</v>
      </c>
      <c r="AK22" s="29" t="str">
        <f t="shared" si="2"/>
        <v>NA</v>
      </c>
      <c r="AL22" s="29"/>
      <c r="AM22" s="29"/>
      <c r="AN22" s="29"/>
      <c r="AO22" s="29"/>
      <c r="AP22" s="29"/>
      <c r="AQ22" s="29"/>
    </row>
    <row r="23" spans="1:43" x14ac:dyDescent="0.2">
      <c r="A23" s="6" t="s">
        <v>63</v>
      </c>
      <c r="D23" s="8">
        <f t="shared" ref="D23:AK23" si="3">D5-D13</f>
        <v>0</v>
      </c>
      <c r="E23" s="8">
        <f t="shared" si="3"/>
        <v>0</v>
      </c>
      <c r="F23" s="8">
        <f t="shared" si="3"/>
        <v>0.89999999999999991</v>
      </c>
      <c r="G23" s="8">
        <f t="shared" si="3"/>
        <v>0.89999999999999991</v>
      </c>
      <c r="H23" s="8">
        <f t="shared" si="3"/>
        <v>1.7000000000000002</v>
      </c>
      <c r="I23" s="8">
        <f t="shared" si="3"/>
        <v>1.7000000000000002</v>
      </c>
      <c r="J23" s="8">
        <f t="shared" si="3"/>
        <v>2</v>
      </c>
      <c r="K23" s="8">
        <f t="shared" si="3"/>
        <v>2</v>
      </c>
      <c r="L23" s="8">
        <f t="shared" si="3"/>
        <v>5.4</v>
      </c>
      <c r="M23" s="8">
        <f t="shared" si="3"/>
        <v>5.4</v>
      </c>
      <c r="N23" s="8">
        <f t="shared" si="3"/>
        <v>5.2</v>
      </c>
      <c r="O23" s="8">
        <f t="shared" si="3"/>
        <v>5.2</v>
      </c>
      <c r="P23" s="8">
        <f t="shared" si="3"/>
        <v>5.3</v>
      </c>
      <c r="Q23" s="8">
        <f t="shared" si="3"/>
        <v>5.3</v>
      </c>
      <c r="R23" s="8">
        <f t="shared" si="3"/>
        <v>5.6000000000000005</v>
      </c>
      <c r="S23" s="8">
        <f t="shared" si="3"/>
        <v>5.6000000000000005</v>
      </c>
      <c r="T23" s="8">
        <f t="shared" si="3"/>
        <v>6</v>
      </c>
      <c r="U23" s="8">
        <f t="shared" si="3"/>
        <v>6</v>
      </c>
      <c r="V23" s="8">
        <f t="shared" si="3"/>
        <v>5.8000000000000007</v>
      </c>
      <c r="W23" s="8">
        <f t="shared" si="3"/>
        <v>5.8000000000000007</v>
      </c>
      <c r="X23" s="8">
        <f t="shared" si="3"/>
        <v>6.1000000000000005</v>
      </c>
      <c r="Y23" s="8">
        <f t="shared" si="3"/>
        <v>6.1000000000000005</v>
      </c>
      <c r="Z23" s="8">
        <f t="shared" si="3"/>
        <v>4.4999999999999991</v>
      </c>
      <c r="AA23" s="8">
        <f t="shared" si="3"/>
        <v>4.4999999999999991</v>
      </c>
      <c r="AB23" s="8">
        <f t="shared" si="3"/>
        <v>4.3999999999999995</v>
      </c>
      <c r="AC23" s="8">
        <f t="shared" si="3"/>
        <v>4.3999999999999995</v>
      </c>
      <c r="AD23" s="8">
        <f t="shared" si="3"/>
        <v>4.2999999999999989</v>
      </c>
      <c r="AE23" s="8">
        <f t="shared" si="3"/>
        <v>4.2999999999999989</v>
      </c>
      <c r="AF23" s="8">
        <f t="shared" si="3"/>
        <v>5.3000000000000007</v>
      </c>
      <c r="AG23" s="8">
        <f t="shared" si="3"/>
        <v>5.3000000000000007</v>
      </c>
      <c r="AH23" s="8">
        <f t="shared" si="3"/>
        <v>6.8000000000000007</v>
      </c>
      <c r="AI23" s="8">
        <f t="shared" si="3"/>
        <v>6.8000000000000007</v>
      </c>
      <c r="AJ23" s="8">
        <f t="shared" si="3"/>
        <v>8.1999999999999993</v>
      </c>
      <c r="AK23" s="8">
        <f t="shared" si="3"/>
        <v>8.1999999999999993</v>
      </c>
      <c r="AL23" s="8"/>
      <c r="AM23" s="8"/>
      <c r="AN23" s="8"/>
      <c r="AO23" s="8"/>
      <c r="AP23" s="8"/>
      <c r="AQ23" s="8"/>
    </row>
    <row r="24" spans="1:43" x14ac:dyDescent="0.2">
      <c r="A24" s="6" t="s">
        <v>64</v>
      </c>
      <c r="D24" s="8">
        <f t="shared" ref="D24:AK24" si="4">D6-D13</f>
        <v>0</v>
      </c>
      <c r="E24" s="8">
        <f t="shared" si="4"/>
        <v>0</v>
      </c>
      <c r="F24" s="8">
        <f t="shared" si="4"/>
        <v>-0.48</v>
      </c>
      <c r="G24" s="8">
        <f t="shared" si="4"/>
        <v>-0.48</v>
      </c>
      <c r="H24" s="8">
        <f t="shared" si="4"/>
        <v>0.32000000000000028</v>
      </c>
      <c r="I24" s="8">
        <f t="shared" si="4"/>
        <v>0.32000000000000028</v>
      </c>
      <c r="J24" s="8">
        <f t="shared" si="4"/>
        <v>0.45999999999999996</v>
      </c>
      <c r="K24" s="8">
        <f t="shared" si="4"/>
        <v>0.45999999999999996</v>
      </c>
      <c r="L24" s="8">
        <f t="shared" si="4"/>
        <v>4.16</v>
      </c>
      <c r="M24" s="8">
        <f t="shared" si="4"/>
        <v>4.16</v>
      </c>
      <c r="N24" s="8">
        <f t="shared" si="4"/>
        <v>3.5999999999999996</v>
      </c>
      <c r="O24" s="8">
        <f t="shared" si="4"/>
        <v>3.5999999999999996</v>
      </c>
      <c r="P24" s="8">
        <f t="shared" si="4"/>
        <v>3.8</v>
      </c>
      <c r="Q24" s="8">
        <f t="shared" si="4"/>
        <v>3.8</v>
      </c>
      <c r="R24" s="8">
        <f t="shared" si="4"/>
        <v>3.6800000000000006</v>
      </c>
      <c r="S24" s="8">
        <f t="shared" si="4"/>
        <v>3.6800000000000006</v>
      </c>
      <c r="T24" s="8">
        <f t="shared" si="4"/>
        <v>4.08</v>
      </c>
      <c r="U24" s="8">
        <f t="shared" si="4"/>
        <v>4.08</v>
      </c>
      <c r="V24" s="8">
        <f t="shared" si="4"/>
        <v>3.2800000000000011</v>
      </c>
      <c r="W24" s="8">
        <f t="shared" si="4"/>
        <v>3.2800000000000011</v>
      </c>
      <c r="X24" s="8">
        <f t="shared" si="4"/>
        <v>3.5399999999999983</v>
      </c>
      <c r="Y24" s="8">
        <f t="shared" si="4"/>
        <v>3.5399999999999983</v>
      </c>
      <c r="Z24" s="8">
        <f t="shared" si="4"/>
        <v>1.2000000000000002</v>
      </c>
      <c r="AA24" s="8">
        <f t="shared" si="4"/>
        <v>1.2000000000000002</v>
      </c>
      <c r="AB24" s="8">
        <f t="shared" si="4"/>
        <v>0.81999999999999851</v>
      </c>
      <c r="AC24" s="8">
        <f t="shared" si="4"/>
        <v>0.81999999999999851</v>
      </c>
      <c r="AD24" s="8">
        <f t="shared" si="4"/>
        <v>0.21999999999999886</v>
      </c>
      <c r="AE24" s="8">
        <f t="shared" si="4"/>
        <v>0.21999999999999886</v>
      </c>
      <c r="AF24" s="8">
        <f t="shared" si="4"/>
        <v>1.3999999999999995</v>
      </c>
      <c r="AG24" s="8">
        <f t="shared" si="4"/>
        <v>1.3999999999999995</v>
      </c>
      <c r="AH24" s="8">
        <f t="shared" si="4"/>
        <v>2.9400000000000013</v>
      </c>
      <c r="AI24" s="8">
        <f t="shared" si="4"/>
        <v>2.9400000000000013</v>
      </c>
      <c r="AJ24" s="8">
        <f t="shared" si="4"/>
        <v>4.2199999999999989</v>
      </c>
      <c r="AK24" s="8">
        <f t="shared" si="4"/>
        <v>4.2199999999999989</v>
      </c>
      <c r="AL24" s="8"/>
      <c r="AM24" s="8"/>
      <c r="AN24" s="8"/>
      <c r="AO24" s="8"/>
      <c r="AP24" s="8"/>
      <c r="AQ24" s="8"/>
    </row>
    <row r="26" spans="1:43" x14ac:dyDescent="0.2">
      <c r="A26" s="6" t="s">
        <v>65</v>
      </c>
      <c r="D26" s="9" t="e">
        <f t="shared" ref="D26:AK26" si="5">D5/D12</f>
        <v>#DIV/0!</v>
      </c>
      <c r="E26" s="9" t="e">
        <f t="shared" si="5"/>
        <v>#DIV/0!</v>
      </c>
      <c r="F26" s="9">
        <f t="shared" si="5"/>
        <v>1.3333333333333333</v>
      </c>
      <c r="G26" s="9">
        <f t="shared" si="5"/>
        <v>1.3333333333333333</v>
      </c>
      <c r="H26" s="9">
        <f t="shared" si="5"/>
        <v>1.7500000000000002</v>
      </c>
      <c r="I26" s="9">
        <f t="shared" si="5"/>
        <v>1.7500000000000002</v>
      </c>
      <c r="J26" s="9">
        <f t="shared" si="5"/>
        <v>2.0476190476190474</v>
      </c>
      <c r="K26" s="9">
        <f t="shared" si="5"/>
        <v>2.0476190476190474</v>
      </c>
      <c r="L26" s="9">
        <f t="shared" si="5"/>
        <v>5.1764705882352944</v>
      </c>
      <c r="M26" s="9">
        <f t="shared" si="5"/>
        <v>5.1764705882352944</v>
      </c>
      <c r="N26" s="9">
        <f t="shared" si="5"/>
        <v>3.4814814814814814</v>
      </c>
      <c r="O26" s="9">
        <f t="shared" si="5"/>
        <v>3.4814814814814814</v>
      </c>
      <c r="P26" s="9">
        <f t="shared" si="5"/>
        <v>3.333333333333333</v>
      </c>
      <c r="Q26" s="9">
        <f t="shared" si="5"/>
        <v>3.333333333333333</v>
      </c>
      <c r="R26" s="9">
        <f t="shared" si="5"/>
        <v>3.2962962962962963</v>
      </c>
      <c r="S26" s="9">
        <f t="shared" si="5"/>
        <v>3.2962962962962963</v>
      </c>
      <c r="T26" s="9">
        <f t="shared" si="5"/>
        <v>4.5833333333333339</v>
      </c>
      <c r="U26" s="9">
        <f t="shared" si="5"/>
        <v>4.5833333333333339</v>
      </c>
      <c r="V26" s="9">
        <f t="shared" si="5"/>
        <v>3.8571428571428577</v>
      </c>
      <c r="W26" s="9">
        <f t="shared" si="5"/>
        <v>3.8571428571428577</v>
      </c>
      <c r="X26" s="9">
        <f t="shared" si="5"/>
        <v>4</v>
      </c>
      <c r="Y26" s="9">
        <f t="shared" si="5"/>
        <v>4</v>
      </c>
      <c r="Z26" s="9">
        <f t="shared" si="5"/>
        <v>3.0789473684210527</v>
      </c>
      <c r="AA26" s="9">
        <f t="shared" si="5"/>
        <v>3.0789473684210527</v>
      </c>
      <c r="AB26" s="9">
        <f t="shared" si="5"/>
        <v>3.083333333333333</v>
      </c>
      <c r="AC26" s="9">
        <f t="shared" si="5"/>
        <v>3.083333333333333</v>
      </c>
      <c r="AD26" s="9">
        <f t="shared" si="5"/>
        <v>2.6590909090909087</v>
      </c>
      <c r="AE26" s="9">
        <f t="shared" si="5"/>
        <v>2.6590909090909087</v>
      </c>
      <c r="AF26" s="9">
        <f t="shared" si="5"/>
        <v>2.5652173913043481</v>
      </c>
      <c r="AG26" s="9">
        <f t="shared" si="5"/>
        <v>2.5652173913043481</v>
      </c>
      <c r="AH26" s="9">
        <f t="shared" si="5"/>
        <v>2.7333333333333334</v>
      </c>
      <c r="AI26" s="9">
        <f t="shared" si="5"/>
        <v>2.7333333333333334</v>
      </c>
      <c r="AJ26" s="9">
        <f t="shared" si="5"/>
        <v>3.4054054054054053</v>
      </c>
      <c r="AK26" s="9">
        <f t="shared" si="5"/>
        <v>3.4054054054054053</v>
      </c>
      <c r="AL26" s="9"/>
      <c r="AM26" s="9"/>
      <c r="AN26" s="9"/>
      <c r="AO26" s="9"/>
      <c r="AP26" s="9"/>
      <c r="AQ26" s="9"/>
    </row>
    <row r="27" spans="1:43" x14ac:dyDescent="0.2">
      <c r="A27" s="6" t="s">
        <v>66</v>
      </c>
      <c r="D27" s="9" t="e">
        <f>AVERAGE(D26:D26)</f>
        <v>#DIV/0!</v>
      </c>
      <c r="E27" s="9" t="e">
        <f>AVERAGE(D26:E26)</f>
        <v>#DIV/0!</v>
      </c>
      <c r="F27" s="9" t="e">
        <f>AVERAGE(D26:F26)</f>
        <v>#DIV/0!</v>
      </c>
      <c r="G27" s="9" t="e">
        <f t="shared" ref="G27:AK27" si="6">AVERAGE(D26:G26)</f>
        <v>#DIV/0!</v>
      </c>
      <c r="H27" s="9" t="e">
        <f t="shared" si="6"/>
        <v>#DIV/0!</v>
      </c>
      <c r="I27" s="9">
        <f t="shared" si="6"/>
        <v>1.5416666666666667</v>
      </c>
      <c r="J27" s="9">
        <f t="shared" si="6"/>
        <v>1.7202380952380953</v>
      </c>
      <c r="K27" s="9">
        <f t="shared" si="6"/>
        <v>1.8988095238095237</v>
      </c>
      <c r="L27" s="9">
        <f t="shared" si="6"/>
        <v>2.7554271708683471</v>
      </c>
      <c r="M27" s="9">
        <f t="shared" si="6"/>
        <v>3.6120448179271705</v>
      </c>
      <c r="N27" s="9">
        <f t="shared" si="6"/>
        <v>3.9705104263927793</v>
      </c>
      <c r="O27" s="9">
        <f t="shared" si="6"/>
        <v>4.3289760348583881</v>
      </c>
      <c r="P27" s="9">
        <f t="shared" si="6"/>
        <v>3.8681917211328978</v>
      </c>
      <c r="Q27" s="9">
        <f t="shared" si="6"/>
        <v>3.4074074074074074</v>
      </c>
      <c r="R27" s="9">
        <f t="shared" si="6"/>
        <v>3.3611111111111112</v>
      </c>
      <c r="S27" s="9">
        <f t="shared" si="6"/>
        <v>3.3148148148148144</v>
      </c>
      <c r="T27" s="9">
        <f t="shared" si="6"/>
        <v>3.6273148148148149</v>
      </c>
      <c r="U27" s="9">
        <f t="shared" si="6"/>
        <v>3.9398148148148153</v>
      </c>
      <c r="V27" s="9">
        <f t="shared" si="6"/>
        <v>4.0800264550264558</v>
      </c>
      <c r="W27" s="9">
        <f t="shared" si="6"/>
        <v>4.2202380952380958</v>
      </c>
      <c r="X27" s="9">
        <f t="shared" si="6"/>
        <v>4.0744047619047628</v>
      </c>
      <c r="Y27" s="9">
        <f t="shared" si="6"/>
        <v>3.9285714285714288</v>
      </c>
      <c r="Z27" s="9">
        <f t="shared" si="6"/>
        <v>3.7340225563909777</v>
      </c>
      <c r="AA27" s="9">
        <f t="shared" si="6"/>
        <v>3.5394736842105265</v>
      </c>
      <c r="AB27" s="9">
        <f t="shared" si="6"/>
        <v>3.3103070175438596</v>
      </c>
      <c r="AC27" s="9">
        <f t="shared" si="6"/>
        <v>3.0811403508771926</v>
      </c>
      <c r="AD27" s="9">
        <f t="shared" si="6"/>
        <v>2.9761762360446569</v>
      </c>
      <c r="AE27" s="9">
        <f t="shared" si="6"/>
        <v>2.8712121212121207</v>
      </c>
      <c r="AF27" s="9">
        <f t="shared" si="6"/>
        <v>2.7416831357048745</v>
      </c>
      <c r="AG27" s="9">
        <f t="shared" si="6"/>
        <v>2.6121541501976284</v>
      </c>
      <c r="AH27" s="9">
        <f t="shared" si="6"/>
        <v>2.6307147562582349</v>
      </c>
      <c r="AI27" s="9">
        <f t="shared" si="6"/>
        <v>2.649275362318841</v>
      </c>
      <c r="AJ27" s="9">
        <f t="shared" si="6"/>
        <v>2.8593223658441054</v>
      </c>
      <c r="AK27" s="9">
        <f t="shared" si="6"/>
        <v>3.0693693693693693</v>
      </c>
      <c r="AL27" s="9"/>
      <c r="AM27" s="9"/>
      <c r="AN27" s="9"/>
      <c r="AO27" s="9"/>
      <c r="AP27" s="9"/>
      <c r="AQ27" s="9"/>
    </row>
    <row r="29" spans="1:43" x14ac:dyDescent="0.2">
      <c r="A29" s="6" t="s">
        <v>67</v>
      </c>
      <c r="D29" s="9" t="e">
        <f t="shared" ref="D29:AK29" si="7">D18/D20</f>
        <v>#DIV/0!</v>
      </c>
      <c r="E29" s="9" t="e">
        <f t="shared" si="7"/>
        <v>#DIV/0!</v>
      </c>
      <c r="F29" s="9" t="e">
        <f t="shared" si="7"/>
        <v>#DIV/0!</v>
      </c>
      <c r="G29" s="9" t="e">
        <f t="shared" si="7"/>
        <v>#DIV/0!</v>
      </c>
      <c r="H29" s="9">
        <f t="shared" si="7"/>
        <v>7.4303405572755429E-2</v>
      </c>
      <c r="I29" s="9">
        <f t="shared" si="7"/>
        <v>7.4303405572755429E-2</v>
      </c>
      <c r="J29" s="9">
        <f t="shared" si="7"/>
        <v>0.11145510835913315</v>
      </c>
      <c r="K29" s="9">
        <f t="shared" si="7"/>
        <v>0.11145510835913315</v>
      </c>
      <c r="L29" s="9">
        <f t="shared" si="7"/>
        <v>0.20047169811320756</v>
      </c>
      <c r="M29" s="9">
        <f t="shared" si="7"/>
        <v>0.20047169811320756</v>
      </c>
      <c r="N29" s="9">
        <f t="shared" si="7"/>
        <v>0.19594594594594594</v>
      </c>
      <c r="O29" s="9">
        <f t="shared" si="7"/>
        <v>0.19594594594594594</v>
      </c>
      <c r="P29" s="9">
        <f t="shared" si="7"/>
        <v>0.18243243243243246</v>
      </c>
      <c r="Q29" s="9">
        <f t="shared" si="7"/>
        <v>0.18243243243243246</v>
      </c>
      <c r="R29" s="9">
        <f t="shared" si="7"/>
        <v>0.1554054054054054</v>
      </c>
      <c r="S29" s="9">
        <f t="shared" si="7"/>
        <v>0.1554054054054054</v>
      </c>
      <c r="T29" s="9">
        <f t="shared" si="7"/>
        <v>0.15765765765765766</v>
      </c>
      <c r="U29" s="9">
        <f t="shared" si="7"/>
        <v>0.15765765765765766</v>
      </c>
      <c r="V29" s="9">
        <f t="shared" si="7"/>
        <v>0.1463963963963964</v>
      </c>
      <c r="W29" s="9">
        <f t="shared" si="7"/>
        <v>0.1463963963963964</v>
      </c>
      <c r="X29" s="9">
        <f t="shared" si="7"/>
        <v>0.15315315315315314</v>
      </c>
      <c r="Y29" s="9">
        <f t="shared" si="7"/>
        <v>0.15315315315315314</v>
      </c>
      <c r="Z29" s="9">
        <f t="shared" si="7"/>
        <v>0.16441441441441443</v>
      </c>
      <c r="AA29" s="9">
        <f t="shared" si="7"/>
        <v>0.16441441441441443</v>
      </c>
      <c r="AB29" s="9">
        <f t="shared" si="7"/>
        <v>0.17342342342342343</v>
      </c>
      <c r="AC29" s="9">
        <f t="shared" si="7"/>
        <v>0.17342342342342343</v>
      </c>
      <c r="AD29" s="9">
        <f t="shared" si="7"/>
        <v>0.1734234234234234</v>
      </c>
      <c r="AE29" s="9">
        <f t="shared" si="7"/>
        <v>0.1734234234234234</v>
      </c>
      <c r="AF29" s="9">
        <f t="shared" si="7"/>
        <v>0.18243243243243243</v>
      </c>
      <c r="AG29" s="9">
        <f t="shared" si="7"/>
        <v>0.18243243243243243</v>
      </c>
      <c r="AH29" s="9">
        <f t="shared" si="7"/>
        <v>0.19369369369369369</v>
      </c>
      <c r="AI29" s="9">
        <f t="shared" si="7"/>
        <v>0.19369369369369369</v>
      </c>
      <c r="AJ29" s="9">
        <f t="shared" si="7"/>
        <v>0.21846846846846846</v>
      </c>
      <c r="AK29" s="9">
        <f t="shared" si="7"/>
        <v>0.21846846846846846</v>
      </c>
      <c r="AL29" s="9"/>
      <c r="AM29" s="9"/>
      <c r="AN29" s="9"/>
      <c r="AO29" s="9"/>
      <c r="AP29" s="9"/>
      <c r="AQ29" s="9"/>
    </row>
    <row r="30" spans="1:43" x14ac:dyDescent="0.2">
      <c r="B30" s="10" t="s">
        <v>68</v>
      </c>
      <c r="C30" s="10"/>
      <c r="D30" s="11"/>
      <c r="E30" s="11" t="e">
        <f t="shared" ref="E30:AK30" si="8">E29/D29-1</f>
        <v>#DIV/0!</v>
      </c>
      <c r="F30" s="11" t="e">
        <f t="shared" si="8"/>
        <v>#DIV/0!</v>
      </c>
      <c r="G30" s="11" t="e">
        <f t="shared" si="8"/>
        <v>#DIV/0!</v>
      </c>
      <c r="H30" s="11" t="e">
        <f t="shared" si="8"/>
        <v>#DIV/0!</v>
      </c>
      <c r="I30" s="11">
        <f t="shared" si="8"/>
        <v>0</v>
      </c>
      <c r="J30" s="11">
        <f t="shared" si="8"/>
        <v>0.5</v>
      </c>
      <c r="K30" s="11">
        <f t="shared" si="8"/>
        <v>0</v>
      </c>
      <c r="L30" s="11">
        <f t="shared" si="8"/>
        <v>0.7986766247379451</v>
      </c>
      <c r="M30" s="11">
        <f t="shared" si="8"/>
        <v>0</v>
      </c>
      <c r="N30" s="11">
        <f t="shared" si="8"/>
        <v>-2.2575516693163822E-2</v>
      </c>
      <c r="O30" s="11">
        <f t="shared" si="8"/>
        <v>0</v>
      </c>
      <c r="P30" s="11">
        <f t="shared" si="8"/>
        <v>-6.8965517241379226E-2</v>
      </c>
      <c r="Q30" s="11">
        <f t="shared" si="8"/>
        <v>0</v>
      </c>
      <c r="R30" s="11">
        <f t="shared" si="8"/>
        <v>-0.14814814814814825</v>
      </c>
      <c r="S30" s="11">
        <f t="shared" si="8"/>
        <v>0</v>
      </c>
      <c r="T30" s="11">
        <f t="shared" si="8"/>
        <v>1.449275362318847E-2</v>
      </c>
      <c r="U30" s="11">
        <f t="shared" si="8"/>
        <v>0</v>
      </c>
      <c r="V30" s="11">
        <f t="shared" si="8"/>
        <v>-7.1428571428571397E-2</v>
      </c>
      <c r="W30" s="11">
        <f t="shared" si="8"/>
        <v>0</v>
      </c>
      <c r="X30" s="11">
        <f t="shared" si="8"/>
        <v>4.615384615384599E-2</v>
      </c>
      <c r="Y30" s="11">
        <f t="shared" si="8"/>
        <v>0</v>
      </c>
      <c r="Z30" s="11">
        <f t="shared" si="8"/>
        <v>7.3529411764706065E-2</v>
      </c>
      <c r="AA30" s="11">
        <f t="shared" si="8"/>
        <v>0</v>
      </c>
      <c r="AB30" s="11">
        <f t="shared" si="8"/>
        <v>5.4794520547945202E-2</v>
      </c>
      <c r="AC30" s="11">
        <f t="shared" si="8"/>
        <v>0</v>
      </c>
      <c r="AD30" s="11">
        <f t="shared" si="8"/>
        <v>0</v>
      </c>
      <c r="AE30" s="11">
        <f t="shared" si="8"/>
        <v>0</v>
      </c>
      <c r="AF30" s="11">
        <f t="shared" si="8"/>
        <v>5.1948051948051965E-2</v>
      </c>
      <c r="AG30" s="11">
        <f t="shared" si="8"/>
        <v>0</v>
      </c>
      <c r="AH30" s="11">
        <f t="shared" si="8"/>
        <v>6.1728395061728447E-2</v>
      </c>
      <c r="AI30" s="11">
        <f t="shared" si="8"/>
        <v>0</v>
      </c>
      <c r="AJ30" s="11">
        <f t="shared" si="8"/>
        <v>0.12790697674418605</v>
      </c>
      <c r="AK30" s="11">
        <f t="shared" si="8"/>
        <v>0</v>
      </c>
      <c r="AL30" s="11"/>
      <c r="AM30" s="11"/>
      <c r="AN30" s="11"/>
      <c r="AO30" s="11"/>
      <c r="AP30" s="11"/>
      <c r="AQ30" s="11"/>
    </row>
    <row r="31" spans="1:43" x14ac:dyDescent="0.2">
      <c r="B31" s="10" t="s">
        <v>69</v>
      </c>
      <c r="C31" s="10"/>
      <c r="D31" s="11"/>
      <c r="E31" s="11"/>
      <c r="F31" s="11"/>
      <c r="G31" s="11" t="e">
        <f t="shared" ref="G31:AK31" si="9">G29/D29-1</f>
        <v>#DIV/0!</v>
      </c>
      <c r="H31" s="11" t="e">
        <f t="shared" si="9"/>
        <v>#DIV/0!</v>
      </c>
      <c r="I31" s="11" t="e">
        <f t="shared" si="9"/>
        <v>#DIV/0!</v>
      </c>
      <c r="J31" s="11" t="e">
        <f t="shared" si="9"/>
        <v>#DIV/0!</v>
      </c>
      <c r="K31" s="11">
        <f t="shared" si="9"/>
        <v>0.5</v>
      </c>
      <c r="L31" s="11">
        <f t="shared" si="9"/>
        <v>1.698014937106918</v>
      </c>
      <c r="M31" s="11">
        <f t="shared" si="9"/>
        <v>0.7986766247379451</v>
      </c>
      <c r="N31" s="11">
        <f t="shared" si="9"/>
        <v>0.75807057057057015</v>
      </c>
      <c r="O31" s="11">
        <f t="shared" si="9"/>
        <v>-2.2575516693163822E-2</v>
      </c>
      <c r="P31" s="11">
        <f t="shared" si="9"/>
        <v>-8.9984101748807555E-2</v>
      </c>
      <c r="Q31" s="11">
        <f t="shared" si="9"/>
        <v>-6.8965517241379226E-2</v>
      </c>
      <c r="R31" s="11">
        <f t="shared" si="9"/>
        <v>-0.2068965517241379</v>
      </c>
      <c r="S31" s="11">
        <f t="shared" si="9"/>
        <v>-0.14814814814814825</v>
      </c>
      <c r="T31" s="11">
        <f t="shared" si="9"/>
        <v>-0.13580246913580263</v>
      </c>
      <c r="U31" s="11">
        <f t="shared" si="9"/>
        <v>1.449275362318847E-2</v>
      </c>
      <c r="V31" s="11">
        <f t="shared" si="9"/>
        <v>-5.7971014492753548E-2</v>
      </c>
      <c r="W31" s="11">
        <f t="shared" si="9"/>
        <v>-7.1428571428571397E-2</v>
      </c>
      <c r="X31" s="11">
        <f t="shared" si="9"/>
        <v>-2.8571428571428581E-2</v>
      </c>
      <c r="Y31" s="11">
        <f t="shared" si="9"/>
        <v>4.615384615384599E-2</v>
      </c>
      <c r="Z31" s="11">
        <f t="shared" si="9"/>
        <v>0.12307692307692308</v>
      </c>
      <c r="AA31" s="11">
        <f t="shared" si="9"/>
        <v>7.3529411764706065E-2</v>
      </c>
      <c r="AB31" s="11">
        <f t="shared" si="9"/>
        <v>0.13235294117647078</v>
      </c>
      <c r="AC31" s="11">
        <f t="shared" si="9"/>
        <v>5.4794520547945202E-2</v>
      </c>
      <c r="AD31" s="11">
        <f t="shared" si="9"/>
        <v>5.479452054794498E-2</v>
      </c>
      <c r="AE31" s="11">
        <f t="shared" si="9"/>
        <v>0</v>
      </c>
      <c r="AF31" s="11">
        <f t="shared" si="9"/>
        <v>5.1948051948051965E-2</v>
      </c>
      <c r="AG31" s="11">
        <f t="shared" si="9"/>
        <v>5.1948051948051965E-2</v>
      </c>
      <c r="AH31" s="11">
        <f t="shared" si="9"/>
        <v>0.11688311688311703</v>
      </c>
      <c r="AI31" s="11">
        <f t="shared" si="9"/>
        <v>6.1728395061728447E-2</v>
      </c>
      <c r="AJ31" s="11">
        <f t="shared" si="9"/>
        <v>0.19753086419753085</v>
      </c>
      <c r="AK31" s="11">
        <f t="shared" si="9"/>
        <v>0.12790697674418605</v>
      </c>
      <c r="AL31" s="11"/>
      <c r="AM31" s="11"/>
      <c r="AN31" s="11"/>
      <c r="AO31" s="11"/>
      <c r="AP31" s="11"/>
      <c r="AQ31" s="11"/>
    </row>
    <row r="34" spans="1:45" x14ac:dyDescent="0.2">
      <c r="A34" s="6" t="s">
        <v>70</v>
      </c>
      <c r="D34" s="9" t="e">
        <f t="shared" ref="D34:AK34" si="10">D23/D20</f>
        <v>#DIV/0!</v>
      </c>
      <c r="E34" s="9" t="e">
        <f t="shared" si="10"/>
        <v>#DIV/0!</v>
      </c>
      <c r="F34" s="9" t="e">
        <f t="shared" si="10"/>
        <v>#DIV/0!</v>
      </c>
      <c r="G34" s="9" t="e">
        <f t="shared" si="10"/>
        <v>#DIV/0!</v>
      </c>
      <c r="H34" s="9">
        <f t="shared" si="10"/>
        <v>5.2631578947368432E-2</v>
      </c>
      <c r="I34" s="9">
        <f t="shared" si="10"/>
        <v>5.2631578947368432E-2</v>
      </c>
      <c r="J34" s="9">
        <f t="shared" si="10"/>
        <v>6.1919504643962855E-2</v>
      </c>
      <c r="K34" s="9">
        <f t="shared" si="10"/>
        <v>6.1919504643962855E-2</v>
      </c>
      <c r="L34" s="9">
        <f t="shared" si="10"/>
        <v>0.12735849056603774</v>
      </c>
      <c r="M34" s="9">
        <f t="shared" si="10"/>
        <v>0.12735849056603774</v>
      </c>
      <c r="N34" s="9">
        <f t="shared" si="10"/>
        <v>0.11711711711711713</v>
      </c>
      <c r="O34" s="9">
        <f t="shared" si="10"/>
        <v>0.11711711711711713</v>
      </c>
      <c r="P34" s="9">
        <f t="shared" si="10"/>
        <v>0.11936936936936937</v>
      </c>
      <c r="Q34" s="9">
        <f t="shared" si="10"/>
        <v>0.11936936936936937</v>
      </c>
      <c r="R34" s="9">
        <f t="shared" si="10"/>
        <v>0.12612612612612614</v>
      </c>
      <c r="S34" s="54">
        <f t="shared" si="10"/>
        <v>0.12612612612612614</v>
      </c>
      <c r="T34" s="54">
        <f t="shared" si="10"/>
        <v>0.13513513513513514</v>
      </c>
      <c r="U34" s="9">
        <f t="shared" si="10"/>
        <v>0.13513513513513514</v>
      </c>
      <c r="V34" s="9">
        <f t="shared" si="10"/>
        <v>0.13063063063063066</v>
      </c>
      <c r="W34" s="9">
        <f t="shared" si="10"/>
        <v>0.13063063063063066</v>
      </c>
      <c r="X34" s="9">
        <f t="shared" si="10"/>
        <v>0.1373873873873874</v>
      </c>
      <c r="Y34" s="9">
        <f t="shared" si="10"/>
        <v>0.1373873873873874</v>
      </c>
      <c r="Z34" s="9">
        <f t="shared" si="10"/>
        <v>0.10135135135135133</v>
      </c>
      <c r="AA34" s="9">
        <f t="shared" si="10"/>
        <v>0.10135135135135133</v>
      </c>
      <c r="AB34" s="9">
        <f t="shared" si="10"/>
        <v>9.9099099099099086E-2</v>
      </c>
      <c r="AC34" s="9">
        <f t="shared" si="10"/>
        <v>9.9099099099099086E-2</v>
      </c>
      <c r="AD34" s="9">
        <f t="shared" si="10"/>
        <v>9.6846846846846829E-2</v>
      </c>
      <c r="AE34" s="9">
        <f t="shared" si="10"/>
        <v>9.6846846846846829E-2</v>
      </c>
      <c r="AF34" s="9">
        <f t="shared" si="10"/>
        <v>0.11936936936936939</v>
      </c>
      <c r="AG34" s="9">
        <f t="shared" si="10"/>
        <v>0.11936936936936939</v>
      </c>
      <c r="AH34" s="9">
        <f t="shared" si="10"/>
        <v>0.15315315315315317</v>
      </c>
      <c r="AI34" s="9">
        <f t="shared" si="10"/>
        <v>0.15315315315315317</v>
      </c>
      <c r="AJ34" s="9">
        <f t="shared" si="10"/>
        <v>0.18468468468468469</v>
      </c>
      <c r="AK34" s="9">
        <f t="shared" si="10"/>
        <v>0.18468468468468469</v>
      </c>
      <c r="AL34" s="9"/>
      <c r="AM34" s="9"/>
      <c r="AN34" s="9"/>
      <c r="AO34" s="9"/>
      <c r="AP34" s="9"/>
      <c r="AQ34" s="9"/>
    </row>
    <row r="35" spans="1:45" s="10" customFormat="1" x14ac:dyDescent="0.2">
      <c r="B35" s="10" t="s">
        <v>68</v>
      </c>
      <c r="D35" s="11"/>
      <c r="E35" s="11" t="e">
        <f t="shared" ref="E35:AK35" si="11">E34/D34-1</f>
        <v>#DIV/0!</v>
      </c>
      <c r="F35" s="11" t="e">
        <f t="shared" si="11"/>
        <v>#DIV/0!</v>
      </c>
      <c r="G35" s="11" t="e">
        <f t="shared" si="11"/>
        <v>#DIV/0!</v>
      </c>
      <c r="H35" s="11" t="e">
        <f t="shared" si="11"/>
        <v>#DIV/0!</v>
      </c>
      <c r="I35" s="11">
        <f t="shared" si="11"/>
        <v>0</v>
      </c>
      <c r="J35" s="11">
        <f t="shared" si="11"/>
        <v>0.17647058823529393</v>
      </c>
      <c r="K35" s="11">
        <f t="shared" si="11"/>
        <v>0</v>
      </c>
      <c r="L35" s="11">
        <f t="shared" si="11"/>
        <v>1.0568396226415091</v>
      </c>
      <c r="M35" s="11">
        <f t="shared" si="11"/>
        <v>0</v>
      </c>
      <c r="N35" s="11">
        <f t="shared" si="11"/>
        <v>-8.0413747080413711E-2</v>
      </c>
      <c r="O35" s="11">
        <f t="shared" si="11"/>
        <v>0</v>
      </c>
      <c r="P35" s="11">
        <f t="shared" si="11"/>
        <v>1.9230769230769162E-2</v>
      </c>
      <c r="Q35" s="11">
        <f t="shared" si="11"/>
        <v>0</v>
      </c>
      <c r="R35" s="55">
        <f t="shared" si="11"/>
        <v>5.660377358490587E-2</v>
      </c>
      <c r="S35" s="55">
        <f t="shared" si="11"/>
        <v>0</v>
      </c>
      <c r="T35" s="11">
        <f t="shared" si="11"/>
        <v>7.1428571428571397E-2</v>
      </c>
      <c r="U35" s="11">
        <f t="shared" si="11"/>
        <v>0</v>
      </c>
      <c r="V35" s="11">
        <f t="shared" si="11"/>
        <v>-3.3333333333333215E-2</v>
      </c>
      <c r="W35" s="11">
        <f t="shared" si="11"/>
        <v>0</v>
      </c>
      <c r="X35" s="11">
        <f t="shared" si="11"/>
        <v>5.1724137931034475E-2</v>
      </c>
      <c r="Y35" s="11">
        <f t="shared" si="11"/>
        <v>0</v>
      </c>
      <c r="Z35" s="11">
        <f t="shared" si="11"/>
        <v>-0.26229508196721329</v>
      </c>
      <c r="AA35" s="11">
        <f t="shared" si="11"/>
        <v>0</v>
      </c>
      <c r="AB35" s="11">
        <f t="shared" si="11"/>
        <v>-2.2222222222222143E-2</v>
      </c>
      <c r="AC35" s="11">
        <f t="shared" si="11"/>
        <v>0</v>
      </c>
      <c r="AD35" s="11">
        <f t="shared" si="11"/>
        <v>-2.2727272727272818E-2</v>
      </c>
      <c r="AE35" s="11">
        <f t="shared" si="11"/>
        <v>0</v>
      </c>
      <c r="AF35" s="11">
        <f t="shared" si="11"/>
        <v>0.23255813953488413</v>
      </c>
      <c r="AG35" s="11">
        <f t="shared" si="11"/>
        <v>0</v>
      </c>
      <c r="AH35" s="11">
        <f t="shared" si="11"/>
        <v>0.28301886792452824</v>
      </c>
      <c r="AI35" s="11">
        <f t="shared" si="11"/>
        <v>0</v>
      </c>
      <c r="AJ35" s="11">
        <f t="shared" si="11"/>
        <v>0.20588235294117641</v>
      </c>
      <c r="AK35" s="11">
        <f t="shared" si="11"/>
        <v>0</v>
      </c>
      <c r="AL35" s="11"/>
      <c r="AM35" s="11"/>
      <c r="AN35" s="11"/>
      <c r="AO35" s="11"/>
      <c r="AP35" s="11"/>
      <c r="AQ35" s="11"/>
    </row>
    <row r="36" spans="1:45" s="10" customFormat="1" x14ac:dyDescent="0.2">
      <c r="B36" s="10" t="s">
        <v>69</v>
      </c>
      <c r="D36" s="11"/>
      <c r="E36" s="11"/>
      <c r="F36" s="11"/>
      <c r="G36" s="11"/>
      <c r="H36" s="11" t="e">
        <f t="shared" ref="H36:AK36" si="12">H34/D34-1</f>
        <v>#DIV/0!</v>
      </c>
      <c r="I36" s="11" t="e">
        <f t="shared" si="12"/>
        <v>#DIV/0!</v>
      </c>
      <c r="J36" s="11" t="e">
        <f t="shared" si="12"/>
        <v>#DIV/0!</v>
      </c>
      <c r="K36" s="11" t="e">
        <f t="shared" si="12"/>
        <v>#DIV/0!</v>
      </c>
      <c r="L36" s="11">
        <f t="shared" si="12"/>
        <v>1.4198113207547163</v>
      </c>
      <c r="M36" s="11">
        <f t="shared" si="12"/>
        <v>1.4198113207547163</v>
      </c>
      <c r="N36" s="11">
        <f t="shared" si="12"/>
        <v>0.89144144144144133</v>
      </c>
      <c r="O36" s="11">
        <f t="shared" si="12"/>
        <v>0.89144144144144133</v>
      </c>
      <c r="P36" s="11">
        <f t="shared" si="12"/>
        <v>-6.2729396062729426E-2</v>
      </c>
      <c r="Q36" s="11">
        <f t="shared" si="12"/>
        <v>-6.2729396062729426E-2</v>
      </c>
      <c r="R36" s="11">
        <f t="shared" si="12"/>
        <v>7.6923076923076872E-2</v>
      </c>
      <c r="S36" s="11">
        <f t="shared" si="12"/>
        <v>7.6923076923076872E-2</v>
      </c>
      <c r="T36" s="11">
        <f t="shared" si="12"/>
        <v>0.13207547169811318</v>
      </c>
      <c r="U36" s="11">
        <f t="shared" si="12"/>
        <v>0.13207547169811318</v>
      </c>
      <c r="V36" s="11">
        <f t="shared" si="12"/>
        <v>3.5714285714285809E-2</v>
      </c>
      <c r="W36" s="11">
        <f t="shared" si="12"/>
        <v>3.5714285714285809E-2</v>
      </c>
      <c r="X36" s="11">
        <f t="shared" si="12"/>
        <v>1.6666666666666607E-2</v>
      </c>
      <c r="Y36" s="11">
        <f t="shared" si="12"/>
        <v>1.6666666666666607E-2</v>
      </c>
      <c r="Z36" s="11">
        <f t="shared" si="12"/>
        <v>-0.2241379310344831</v>
      </c>
      <c r="AA36" s="11">
        <f t="shared" si="12"/>
        <v>-0.2241379310344831</v>
      </c>
      <c r="AB36" s="11">
        <f t="shared" si="12"/>
        <v>-0.27868852459016413</v>
      </c>
      <c r="AC36" s="11">
        <f t="shared" si="12"/>
        <v>-0.27868852459016413</v>
      </c>
      <c r="AD36" s="11">
        <f t="shared" si="12"/>
        <v>-4.4444444444444398E-2</v>
      </c>
      <c r="AE36" s="11">
        <f t="shared" si="12"/>
        <v>-4.4444444444444398E-2</v>
      </c>
      <c r="AF36" s="11">
        <f t="shared" si="12"/>
        <v>0.20454545454545481</v>
      </c>
      <c r="AG36" s="11">
        <f t="shared" si="12"/>
        <v>0.20454545454545481</v>
      </c>
      <c r="AH36" s="11">
        <f t="shared" si="12"/>
        <v>0.58139534883720967</v>
      </c>
      <c r="AI36" s="11">
        <f t="shared" si="12"/>
        <v>0.58139534883720967</v>
      </c>
      <c r="AJ36" s="11">
        <f t="shared" si="12"/>
        <v>0.5471698113207546</v>
      </c>
      <c r="AK36" s="11">
        <f t="shared" si="12"/>
        <v>0.5471698113207546</v>
      </c>
      <c r="AL36" s="11"/>
      <c r="AM36" s="11"/>
      <c r="AN36" s="11"/>
      <c r="AO36" s="11"/>
      <c r="AP36" s="11"/>
      <c r="AQ36" s="11"/>
    </row>
    <row r="37" spans="1:45" s="10" customFormat="1" x14ac:dyDescent="0.2"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45" s="10" customFormat="1" x14ac:dyDescent="0.2">
      <c r="A38" s="6" t="s">
        <v>71</v>
      </c>
      <c r="D38" s="9" t="e">
        <f t="shared" ref="D38:AK38" si="13">D24/D20</f>
        <v>#DIV/0!</v>
      </c>
      <c r="E38" s="9" t="e">
        <f t="shared" si="13"/>
        <v>#DIV/0!</v>
      </c>
      <c r="F38" s="9" t="e">
        <f t="shared" si="13"/>
        <v>#DIV/0!</v>
      </c>
      <c r="G38" s="9" t="e">
        <f t="shared" si="13"/>
        <v>#DIV/0!</v>
      </c>
      <c r="H38" s="9">
        <f t="shared" si="13"/>
        <v>9.907120743034065E-3</v>
      </c>
      <c r="I38" s="9">
        <f t="shared" si="13"/>
        <v>9.907120743034065E-3</v>
      </c>
      <c r="J38" s="9">
        <f t="shared" si="13"/>
        <v>1.4241486068111455E-2</v>
      </c>
      <c r="K38" s="9">
        <f t="shared" si="13"/>
        <v>1.4241486068111455E-2</v>
      </c>
      <c r="L38" s="9">
        <f t="shared" si="13"/>
        <v>9.8113207547169817E-2</v>
      </c>
      <c r="M38" s="9">
        <f t="shared" si="13"/>
        <v>9.8113207547169817E-2</v>
      </c>
      <c r="N38" s="9">
        <f t="shared" si="13"/>
        <v>8.1081081081081072E-2</v>
      </c>
      <c r="O38" s="9">
        <f t="shared" si="13"/>
        <v>8.1081081081081072E-2</v>
      </c>
      <c r="P38" s="9">
        <f t="shared" si="13"/>
        <v>8.5585585585585586E-2</v>
      </c>
      <c r="Q38" s="9">
        <f t="shared" si="13"/>
        <v>8.5585585585585586E-2</v>
      </c>
      <c r="R38" s="9">
        <f t="shared" si="13"/>
        <v>8.2882882882882897E-2</v>
      </c>
      <c r="S38" s="9">
        <f t="shared" si="13"/>
        <v>8.2882882882882897E-2</v>
      </c>
      <c r="T38" s="9">
        <f t="shared" si="13"/>
        <v>9.1891891891891897E-2</v>
      </c>
      <c r="U38" s="9">
        <f t="shared" si="13"/>
        <v>9.1891891891891897E-2</v>
      </c>
      <c r="V38" s="9">
        <f t="shared" si="13"/>
        <v>7.3873873873873896E-2</v>
      </c>
      <c r="W38" s="9">
        <f t="shared" si="13"/>
        <v>7.3873873873873896E-2</v>
      </c>
      <c r="X38" s="9">
        <f t="shared" si="13"/>
        <v>7.9729729729729693E-2</v>
      </c>
      <c r="Y38" s="9">
        <f t="shared" si="13"/>
        <v>7.9729729729729693E-2</v>
      </c>
      <c r="Z38" s="9">
        <f t="shared" si="13"/>
        <v>2.7027027027027032E-2</v>
      </c>
      <c r="AA38" s="9">
        <f t="shared" si="13"/>
        <v>2.7027027027027032E-2</v>
      </c>
      <c r="AB38" s="9">
        <f t="shared" si="13"/>
        <v>1.8468468468468436E-2</v>
      </c>
      <c r="AC38" s="9">
        <f t="shared" si="13"/>
        <v>1.8468468468468436E-2</v>
      </c>
      <c r="AD38" s="9">
        <f t="shared" si="13"/>
        <v>4.9549549549549295E-3</v>
      </c>
      <c r="AE38" s="9">
        <f t="shared" si="13"/>
        <v>4.9549549549549295E-3</v>
      </c>
      <c r="AF38" s="9">
        <f t="shared" si="13"/>
        <v>3.1531531531531522E-2</v>
      </c>
      <c r="AG38" s="9">
        <f t="shared" si="13"/>
        <v>3.1531531531531522E-2</v>
      </c>
      <c r="AH38" s="9">
        <f t="shared" si="13"/>
        <v>6.6216216216216248E-2</v>
      </c>
      <c r="AI38" s="9">
        <f t="shared" si="13"/>
        <v>6.6216216216216248E-2</v>
      </c>
      <c r="AJ38" s="9">
        <f t="shared" si="13"/>
        <v>9.5045045045045018E-2</v>
      </c>
      <c r="AK38" s="9">
        <f t="shared" si="13"/>
        <v>9.5045045045045018E-2</v>
      </c>
      <c r="AL38" s="9"/>
      <c r="AM38" s="9"/>
      <c r="AN38" s="9"/>
      <c r="AO38" s="9"/>
      <c r="AP38" s="9"/>
      <c r="AQ38" s="9"/>
    </row>
    <row r="39" spans="1:45" s="10" customFormat="1" x14ac:dyDescent="0.2"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45" s="10" customFormat="1" x14ac:dyDescent="0.2"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45" s="10" customFormat="1" x14ac:dyDescent="0.2">
      <c r="A41" s="10" t="s">
        <v>72</v>
      </c>
      <c r="D41" s="29" t="str">
        <f t="shared" ref="D41:AK41" si="14">IFERROR(D22/D20, "NA")</f>
        <v>NA</v>
      </c>
      <c r="E41" s="29" t="str">
        <f t="shared" si="14"/>
        <v>NA</v>
      </c>
      <c r="F41" s="29" t="str">
        <f t="shared" si="14"/>
        <v>NA</v>
      </c>
      <c r="G41" s="29" t="str">
        <f t="shared" si="14"/>
        <v>NA</v>
      </c>
      <c r="H41" s="29" t="str">
        <f t="shared" si="14"/>
        <v>NA</v>
      </c>
      <c r="I41" s="29" t="str">
        <f t="shared" si="14"/>
        <v>NA</v>
      </c>
      <c r="J41" s="29" t="str">
        <f t="shared" si="14"/>
        <v>NA</v>
      </c>
      <c r="K41" s="29" t="str">
        <f t="shared" si="14"/>
        <v>NA</v>
      </c>
      <c r="L41" s="29">
        <f t="shared" si="14"/>
        <v>4.7169811320754727E-2</v>
      </c>
      <c r="M41" s="29">
        <f t="shared" si="14"/>
        <v>4.7169811320754727E-2</v>
      </c>
      <c r="N41" s="29">
        <f t="shared" si="14"/>
        <v>3.6036036036036029E-2</v>
      </c>
      <c r="O41" s="29">
        <f t="shared" si="14"/>
        <v>3.6036036036036029E-2</v>
      </c>
      <c r="P41" s="29">
        <f t="shared" si="14"/>
        <v>2.4774774774774768E-2</v>
      </c>
      <c r="Q41" s="29">
        <f t="shared" si="14"/>
        <v>2.4774774774774768E-2</v>
      </c>
      <c r="R41" s="29">
        <f t="shared" si="14"/>
        <v>2.7027027027027032E-2</v>
      </c>
      <c r="S41" s="29">
        <f t="shared" si="14"/>
        <v>2.7027027027027032E-2</v>
      </c>
      <c r="T41" s="29">
        <f t="shared" si="14"/>
        <v>2.0270270270270278E-2</v>
      </c>
      <c r="U41" s="29">
        <f t="shared" si="14"/>
        <v>2.0270270270270278E-2</v>
      </c>
      <c r="V41" s="29" t="str">
        <f t="shared" si="14"/>
        <v>NA</v>
      </c>
      <c r="W41" s="29" t="str">
        <f t="shared" si="14"/>
        <v>NA</v>
      </c>
      <c r="X41" s="29" t="str">
        <f t="shared" si="14"/>
        <v>NA</v>
      </c>
      <c r="Y41" s="29" t="str">
        <f t="shared" si="14"/>
        <v>NA</v>
      </c>
      <c r="Z41" s="29" t="str">
        <f t="shared" si="14"/>
        <v>NA</v>
      </c>
      <c r="AA41" s="29" t="str">
        <f t="shared" si="14"/>
        <v>NA</v>
      </c>
      <c r="AB41" s="29" t="str">
        <f t="shared" si="14"/>
        <v>NA</v>
      </c>
      <c r="AC41" s="29" t="str">
        <f t="shared" si="14"/>
        <v>NA</v>
      </c>
      <c r="AD41" s="29" t="str">
        <f t="shared" si="14"/>
        <v>NA</v>
      </c>
      <c r="AE41" s="29" t="str">
        <f t="shared" si="14"/>
        <v>NA</v>
      </c>
      <c r="AF41" s="29" t="str">
        <f t="shared" si="14"/>
        <v>NA</v>
      </c>
      <c r="AG41" s="29" t="str">
        <f t="shared" si="14"/>
        <v>NA</v>
      </c>
      <c r="AH41" s="29" t="str">
        <f t="shared" si="14"/>
        <v>NA</v>
      </c>
      <c r="AI41" s="29" t="str">
        <f t="shared" si="14"/>
        <v>NA</v>
      </c>
      <c r="AJ41" s="29" t="str">
        <f t="shared" si="14"/>
        <v>NA</v>
      </c>
      <c r="AK41" s="29" t="str">
        <f t="shared" si="14"/>
        <v>NA</v>
      </c>
      <c r="AL41" s="29"/>
      <c r="AM41" s="29"/>
      <c r="AN41" s="29"/>
      <c r="AO41" s="29"/>
      <c r="AP41" s="29"/>
      <c r="AQ41" s="29"/>
    </row>
    <row r="42" spans="1:45" s="10" customFormat="1" x14ac:dyDescent="0.2">
      <c r="B42" s="11" t="s">
        <v>68</v>
      </c>
      <c r="C42" s="11"/>
      <c r="D42" s="33" t="str">
        <f>IFERROR(D41/#REF!-1, "NA")</f>
        <v>NA</v>
      </c>
      <c r="E42" s="33" t="str">
        <f t="shared" ref="E42:AK42" si="15">IFERROR(E41/D41-1, "NA")</f>
        <v>NA</v>
      </c>
      <c r="F42" s="33" t="str">
        <f t="shared" si="15"/>
        <v>NA</v>
      </c>
      <c r="G42" s="33" t="str">
        <f t="shared" si="15"/>
        <v>NA</v>
      </c>
      <c r="H42" s="33" t="str">
        <f t="shared" si="15"/>
        <v>NA</v>
      </c>
      <c r="I42" s="33" t="str">
        <f t="shared" si="15"/>
        <v>NA</v>
      </c>
      <c r="J42" s="33" t="str">
        <f t="shared" si="15"/>
        <v>NA</v>
      </c>
      <c r="K42" s="33" t="str">
        <f t="shared" si="15"/>
        <v>NA</v>
      </c>
      <c r="L42" s="33" t="str">
        <f t="shared" si="15"/>
        <v>NA</v>
      </c>
      <c r="M42" s="33">
        <f t="shared" si="15"/>
        <v>0</v>
      </c>
      <c r="N42" s="33">
        <f t="shared" si="15"/>
        <v>-0.2360360360360364</v>
      </c>
      <c r="O42" s="33">
        <f t="shared" si="15"/>
        <v>0</v>
      </c>
      <c r="P42" s="33">
        <f t="shared" si="15"/>
        <v>-0.3125</v>
      </c>
      <c r="Q42" s="33">
        <f t="shared" si="15"/>
        <v>0</v>
      </c>
      <c r="R42" s="33">
        <f t="shared" si="15"/>
        <v>9.0909090909091494E-2</v>
      </c>
      <c r="S42" s="33">
        <f t="shared" si="15"/>
        <v>0</v>
      </c>
      <c r="T42" s="33">
        <f t="shared" si="15"/>
        <v>-0.24999999999999989</v>
      </c>
      <c r="U42" s="33">
        <f t="shared" si="15"/>
        <v>0</v>
      </c>
      <c r="V42" s="33" t="str">
        <f t="shared" si="15"/>
        <v>NA</v>
      </c>
      <c r="W42" s="33" t="str">
        <f t="shared" si="15"/>
        <v>NA</v>
      </c>
      <c r="X42" s="33" t="str">
        <f t="shared" si="15"/>
        <v>NA</v>
      </c>
      <c r="Y42" s="33" t="str">
        <f t="shared" si="15"/>
        <v>NA</v>
      </c>
      <c r="Z42" s="33" t="str">
        <f t="shared" si="15"/>
        <v>NA</v>
      </c>
      <c r="AA42" s="33" t="str">
        <f t="shared" si="15"/>
        <v>NA</v>
      </c>
      <c r="AB42" s="33" t="str">
        <f t="shared" si="15"/>
        <v>NA</v>
      </c>
      <c r="AC42" s="33" t="str">
        <f t="shared" si="15"/>
        <v>NA</v>
      </c>
      <c r="AD42" s="33" t="str">
        <f t="shared" si="15"/>
        <v>NA</v>
      </c>
      <c r="AE42" s="33" t="str">
        <f t="shared" si="15"/>
        <v>NA</v>
      </c>
      <c r="AF42" s="33" t="str">
        <f t="shared" si="15"/>
        <v>NA</v>
      </c>
      <c r="AG42" s="33" t="str">
        <f t="shared" si="15"/>
        <v>NA</v>
      </c>
      <c r="AH42" s="33" t="str">
        <f t="shared" si="15"/>
        <v>NA</v>
      </c>
      <c r="AI42" s="33" t="str">
        <f t="shared" si="15"/>
        <v>NA</v>
      </c>
      <c r="AJ42" s="33" t="str">
        <f t="shared" si="15"/>
        <v>NA</v>
      </c>
      <c r="AK42" s="33" t="str">
        <f t="shared" si="15"/>
        <v>NA</v>
      </c>
      <c r="AL42" s="33"/>
      <c r="AM42" s="33"/>
      <c r="AN42" s="33"/>
      <c r="AO42" s="33"/>
      <c r="AP42" s="33"/>
      <c r="AQ42" s="33"/>
    </row>
    <row r="43" spans="1:45" s="10" customFormat="1" x14ac:dyDescent="0.2"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</row>
    <row r="45" spans="1:45" x14ac:dyDescent="0.2">
      <c r="A45" s="6" t="s">
        <v>73</v>
      </c>
      <c r="R45" s="25"/>
      <c r="T45" s="25"/>
      <c r="AK45" s="36">
        <v>0.12</v>
      </c>
      <c r="AL45" s="6" t="s">
        <v>74</v>
      </c>
      <c r="AM45" s="73">
        <f>AK34*AM46</f>
        <v>0.12318468468468469</v>
      </c>
      <c r="AQ45" s="36"/>
    </row>
    <row r="46" spans="1:45" x14ac:dyDescent="0.2">
      <c r="A46" s="6" t="s">
        <v>75</v>
      </c>
      <c r="R46" s="12"/>
      <c r="T46" s="12"/>
      <c r="AK46" s="12">
        <f>AK45/AK34</f>
        <v>0.64975609756097563</v>
      </c>
      <c r="AM46" s="13">
        <v>0.66700000000000004</v>
      </c>
      <c r="AQ46" s="12"/>
    </row>
    <row r="47" spans="1:45" x14ac:dyDescent="0.2">
      <c r="A47" s="6" t="s">
        <v>76</v>
      </c>
      <c r="R47" s="12"/>
      <c r="T47" s="12"/>
      <c r="AK47" s="12">
        <f>AK45/AK38</f>
        <v>1.2625592417061615</v>
      </c>
      <c r="AQ47" s="12"/>
      <c r="AS47" s="13"/>
    </row>
    <row r="48" spans="1:45" x14ac:dyDescent="0.2">
      <c r="A48" s="6" t="s">
        <v>77</v>
      </c>
      <c r="R48" s="12"/>
      <c r="T48" s="12"/>
      <c r="AK48" s="48">
        <f>AK45/AK29</f>
        <v>0.54927835051546392</v>
      </c>
      <c r="AQ48" s="48"/>
      <c r="AS48" s="13"/>
    </row>
    <row r="49" spans="1:45" x14ac:dyDescent="0.2">
      <c r="A49" s="6" t="s">
        <v>78</v>
      </c>
      <c r="R49" s="23"/>
      <c r="T49" s="23"/>
      <c r="AK49" s="29" t="str">
        <f>IFERROR(AK45/AK41, "NA")</f>
        <v>NA</v>
      </c>
      <c r="AQ49" s="29"/>
      <c r="AS49" s="13"/>
    </row>
    <row r="50" spans="1:45" x14ac:dyDescent="0.2">
      <c r="R50" s="23"/>
    </row>
    <row r="51" spans="1:45" x14ac:dyDescent="0.2">
      <c r="R51" s="23"/>
    </row>
    <row r="52" spans="1:45" x14ac:dyDescent="0.2">
      <c r="A52" s="6" t="s">
        <v>79</v>
      </c>
      <c r="D52" s="12" t="e">
        <f t="shared" ref="D52:AK52" si="16">D15/D9</f>
        <v>#DIV/0!</v>
      </c>
      <c r="E52" s="12" t="e">
        <f t="shared" si="16"/>
        <v>#DIV/0!</v>
      </c>
      <c r="F52" s="12">
        <f t="shared" si="16"/>
        <v>0.46938775510204073</v>
      </c>
      <c r="G52" s="12">
        <f t="shared" si="16"/>
        <v>0.46938775510204073</v>
      </c>
      <c r="H52" s="12">
        <f t="shared" si="16"/>
        <v>0.34693877551020402</v>
      </c>
      <c r="I52" s="12">
        <f t="shared" si="16"/>
        <v>0.34693877551020402</v>
      </c>
      <c r="J52" s="12">
        <f t="shared" si="16"/>
        <v>0.11864406779661016</v>
      </c>
      <c r="K52" s="12">
        <f t="shared" si="16"/>
        <v>0.11864406779661016</v>
      </c>
      <c r="L52" s="12">
        <f t="shared" si="16"/>
        <v>0</v>
      </c>
      <c r="M52" s="12">
        <f t="shared" si="16"/>
        <v>0</v>
      </c>
      <c r="N52" s="12">
        <f t="shared" si="16"/>
        <v>0</v>
      </c>
      <c r="O52" s="12">
        <f t="shared" si="16"/>
        <v>0</v>
      </c>
      <c r="P52" s="12">
        <f t="shared" si="16"/>
        <v>0</v>
      </c>
      <c r="Q52" s="12">
        <f t="shared" si="16"/>
        <v>0</v>
      </c>
      <c r="R52" s="12">
        <f t="shared" si="16"/>
        <v>0</v>
      </c>
      <c r="S52" s="12">
        <f t="shared" si="16"/>
        <v>0</v>
      </c>
      <c r="T52" s="12">
        <f t="shared" si="16"/>
        <v>0.20833333333333334</v>
      </c>
      <c r="U52" s="12">
        <f t="shared" si="16"/>
        <v>0.20833333333333334</v>
      </c>
      <c r="V52" s="12">
        <f t="shared" si="16"/>
        <v>0.21739130434782608</v>
      </c>
      <c r="W52" s="12">
        <f t="shared" si="16"/>
        <v>0.21739130434782608</v>
      </c>
      <c r="X52" s="12">
        <f t="shared" si="16"/>
        <v>0.19130434782608696</v>
      </c>
      <c r="Y52" s="12">
        <f t="shared" si="16"/>
        <v>0.19130434782608696</v>
      </c>
      <c r="Z52" s="12">
        <f t="shared" si="16"/>
        <v>0.13103448275862067</v>
      </c>
      <c r="AA52" s="12">
        <f t="shared" si="16"/>
        <v>0.13103448275862067</v>
      </c>
      <c r="AB52" s="12">
        <f t="shared" si="16"/>
        <v>0.11111111111111112</v>
      </c>
      <c r="AC52" s="12">
        <f t="shared" si="16"/>
        <v>0.11111111111111112</v>
      </c>
      <c r="AD52" s="12">
        <f t="shared" si="16"/>
        <v>8.6092715231788075E-2</v>
      </c>
      <c r="AE52" s="12">
        <f t="shared" si="16"/>
        <v>8.6092715231788075E-2</v>
      </c>
      <c r="AF52" s="12">
        <f t="shared" si="16"/>
        <v>6.8493150684931503E-2</v>
      </c>
      <c r="AG52" s="12">
        <f t="shared" si="16"/>
        <v>6.8493150684931503E-2</v>
      </c>
      <c r="AH52" s="12">
        <f t="shared" si="16"/>
        <v>4.9645390070921981E-2</v>
      </c>
      <c r="AI52" s="12">
        <f t="shared" si="16"/>
        <v>4.9645390070921981E-2</v>
      </c>
      <c r="AJ52" s="12">
        <f t="shared" si="16"/>
        <v>2.8368794326241138E-2</v>
      </c>
      <c r="AK52" s="12">
        <f t="shared" si="16"/>
        <v>2.8368794326241138E-2</v>
      </c>
      <c r="AL52" s="12"/>
      <c r="AM52" s="12"/>
      <c r="AN52" s="12"/>
      <c r="AO52" s="12"/>
      <c r="AP52" s="12"/>
      <c r="AQ52" s="12"/>
    </row>
    <row r="53" spans="1:45" x14ac:dyDescent="0.2">
      <c r="A53" s="6" t="s">
        <v>80</v>
      </c>
      <c r="D53" s="12">
        <f t="shared" ref="D53:AK53" si="17">D15/D16</f>
        <v>0</v>
      </c>
      <c r="E53" s="12" t="e">
        <f t="shared" si="17"/>
        <v>#DIV/0!</v>
      </c>
      <c r="F53" s="12">
        <f t="shared" si="17"/>
        <v>1.2777777777777777</v>
      </c>
      <c r="G53" s="12">
        <f t="shared" si="17"/>
        <v>1.2777777777777777</v>
      </c>
      <c r="H53" s="12">
        <f t="shared" si="17"/>
        <v>0.70833333333333337</v>
      </c>
      <c r="I53" s="12">
        <f t="shared" si="17"/>
        <v>0.70833333333333337</v>
      </c>
      <c r="J53" s="12">
        <f t="shared" si="17"/>
        <v>0.19444444444444442</v>
      </c>
      <c r="K53" s="12">
        <f t="shared" si="17"/>
        <v>0.19444444444444442</v>
      </c>
      <c r="L53" s="12">
        <f t="shared" si="17"/>
        <v>0</v>
      </c>
      <c r="M53" s="12">
        <f t="shared" si="17"/>
        <v>0</v>
      </c>
      <c r="N53" s="12">
        <f t="shared" si="17"/>
        <v>0</v>
      </c>
      <c r="O53" s="12">
        <f t="shared" si="17"/>
        <v>0</v>
      </c>
      <c r="P53" s="12">
        <f t="shared" si="17"/>
        <v>0</v>
      </c>
      <c r="Q53" s="12">
        <f t="shared" si="17"/>
        <v>0</v>
      </c>
      <c r="R53" s="12">
        <f t="shared" si="17"/>
        <v>0</v>
      </c>
      <c r="S53" s="12">
        <f t="shared" si="17"/>
        <v>0</v>
      </c>
      <c r="T53" s="12">
        <f t="shared" si="17"/>
        <v>0.35714285714285715</v>
      </c>
      <c r="U53" s="12">
        <f t="shared" si="17"/>
        <v>0.35714285714285715</v>
      </c>
      <c r="V53" s="12">
        <f t="shared" si="17"/>
        <v>0.38461538461538464</v>
      </c>
      <c r="W53" s="12">
        <f t="shared" si="17"/>
        <v>0.38461538461538464</v>
      </c>
      <c r="X53" s="12">
        <f t="shared" si="17"/>
        <v>0.3235294117647059</v>
      </c>
      <c r="Y53" s="12">
        <f t="shared" si="17"/>
        <v>0.3235294117647059</v>
      </c>
      <c r="Z53" s="12">
        <f t="shared" si="17"/>
        <v>0.26027397260273971</v>
      </c>
      <c r="AA53" s="12">
        <f t="shared" si="17"/>
        <v>0.26027397260273971</v>
      </c>
      <c r="AB53" s="12">
        <f t="shared" si="17"/>
        <v>0.2105263157894737</v>
      </c>
      <c r="AC53" s="12">
        <f t="shared" si="17"/>
        <v>0.2105263157894737</v>
      </c>
      <c r="AD53" s="12">
        <f t="shared" si="17"/>
        <v>0.1688311688311688</v>
      </c>
      <c r="AE53" s="12">
        <f t="shared" si="17"/>
        <v>0.1688311688311688</v>
      </c>
      <c r="AF53" s="12">
        <f t="shared" si="17"/>
        <v>0.125</v>
      </c>
      <c r="AG53" s="12">
        <f t="shared" si="17"/>
        <v>0.125</v>
      </c>
      <c r="AH53" s="12">
        <f t="shared" si="17"/>
        <v>8.1395348837209294E-2</v>
      </c>
      <c r="AI53" s="12">
        <f t="shared" si="17"/>
        <v>8.1395348837209294E-2</v>
      </c>
      <c r="AJ53" s="12">
        <f t="shared" si="17"/>
        <v>4.1237113402061862E-2</v>
      </c>
      <c r="AK53" s="12">
        <f t="shared" si="17"/>
        <v>4.1237113402061862E-2</v>
      </c>
      <c r="AL53" s="12"/>
      <c r="AM53" s="12"/>
      <c r="AN53" s="12"/>
      <c r="AO53" s="12"/>
      <c r="AP53" s="12"/>
      <c r="AQ53" s="12"/>
    </row>
    <row r="54" spans="1:45" x14ac:dyDescent="0.2">
      <c r="A54" s="6" t="s">
        <v>81</v>
      </c>
      <c r="D54" s="12">
        <f t="shared" ref="D54:AK54" si="18">D13/D16</f>
        <v>0</v>
      </c>
      <c r="E54" s="12" t="e">
        <f t="shared" si="18"/>
        <v>#DIV/0!</v>
      </c>
      <c r="F54" s="12">
        <f t="shared" si="18"/>
        <v>1.7222222222222223</v>
      </c>
      <c r="G54" s="12">
        <f t="shared" si="18"/>
        <v>1.7222222222222223</v>
      </c>
      <c r="H54" s="12">
        <f t="shared" si="18"/>
        <v>1.0416666666666667</v>
      </c>
      <c r="I54" s="12">
        <f t="shared" si="18"/>
        <v>1.0416666666666667</v>
      </c>
      <c r="J54" s="12">
        <f t="shared" si="18"/>
        <v>0.63888888888888884</v>
      </c>
      <c r="K54" s="12">
        <f t="shared" si="18"/>
        <v>0.63888888888888884</v>
      </c>
      <c r="L54" s="12">
        <f t="shared" si="18"/>
        <v>0.39999999999999997</v>
      </c>
      <c r="M54" s="12">
        <f t="shared" si="18"/>
        <v>0.39999999999999997</v>
      </c>
      <c r="N54" s="12">
        <f t="shared" si="18"/>
        <v>0.47727272727272724</v>
      </c>
      <c r="O54" s="12">
        <f t="shared" si="18"/>
        <v>0.47727272727272724</v>
      </c>
      <c r="P54" s="12">
        <f t="shared" si="18"/>
        <v>0.45121951219512202</v>
      </c>
      <c r="Q54" s="12">
        <f t="shared" si="18"/>
        <v>0.45121951219512202</v>
      </c>
      <c r="R54" s="12">
        <f t="shared" si="18"/>
        <v>0.48529411764705882</v>
      </c>
      <c r="S54" s="12">
        <f t="shared" si="18"/>
        <v>0.48529411764705882</v>
      </c>
      <c r="T54" s="12">
        <f t="shared" si="18"/>
        <v>0.7142857142857143</v>
      </c>
      <c r="U54" s="12">
        <f t="shared" si="18"/>
        <v>0.7142857142857143</v>
      </c>
      <c r="V54" s="12">
        <f t="shared" si="18"/>
        <v>0.76923076923076927</v>
      </c>
      <c r="W54" s="12">
        <f t="shared" si="18"/>
        <v>0.76923076923076927</v>
      </c>
      <c r="X54" s="12">
        <f t="shared" si="18"/>
        <v>0.69117647058823539</v>
      </c>
      <c r="Y54" s="12">
        <f t="shared" si="18"/>
        <v>0.69117647058823539</v>
      </c>
      <c r="Z54" s="12">
        <f t="shared" si="18"/>
        <v>0.98630136986301375</v>
      </c>
      <c r="AA54" s="12">
        <f t="shared" si="18"/>
        <v>0.98630136986301375</v>
      </c>
      <c r="AB54" s="12">
        <f t="shared" si="18"/>
        <v>0.88157894736842113</v>
      </c>
      <c r="AC54" s="12">
        <f t="shared" si="18"/>
        <v>0.88157894736842113</v>
      </c>
      <c r="AD54" s="12">
        <f t="shared" si="18"/>
        <v>0.96103896103896103</v>
      </c>
      <c r="AE54" s="12">
        <f t="shared" si="18"/>
        <v>0.96103896103896103</v>
      </c>
      <c r="AF54" s="12">
        <f t="shared" si="18"/>
        <v>0.8125</v>
      </c>
      <c r="AG54" s="12">
        <f t="shared" si="18"/>
        <v>0.8125</v>
      </c>
      <c r="AH54" s="12">
        <f t="shared" si="18"/>
        <v>0.63953488372093026</v>
      </c>
      <c r="AI54" s="12">
        <f t="shared" si="18"/>
        <v>0.63953488372093026</v>
      </c>
      <c r="AJ54" s="12">
        <f t="shared" si="18"/>
        <v>0.45360824742268047</v>
      </c>
      <c r="AK54" s="12">
        <f t="shared" si="18"/>
        <v>0.45360824742268047</v>
      </c>
      <c r="AL54" s="12"/>
      <c r="AM54" s="12"/>
      <c r="AN54" s="12"/>
      <c r="AO54" s="12"/>
      <c r="AP54" s="12"/>
      <c r="AQ54" s="12"/>
    </row>
  </sheetData>
  <pageMargins left="0.7" right="0.7" top="0.75" bottom="0.75" header="0.3" footer="0.3"/>
  <pageSetup orientation="portrait" horizontalDpi="1200" verticalDpi="12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1"/>
  <sheetViews>
    <sheetView zoomScale="85" zoomScaleNormal="85" workbookViewId="0">
      <pane xSplit="2" ySplit="1" topLeftCell="P2" activePane="bottomRight" state="frozen"/>
      <selection pane="topRight" activeCell="C1" sqref="C1"/>
      <selection pane="bottomLeft" activeCell="A2" sqref="A2"/>
      <selection pane="bottomRight" activeCell="AJ7" sqref="AJ7"/>
    </sheetView>
  </sheetViews>
  <sheetFormatPr defaultColWidth="9.140625" defaultRowHeight="12.75" x14ac:dyDescent="0.2"/>
  <cols>
    <col min="1" max="1" width="2.7109375" style="6" customWidth="1"/>
    <col min="2" max="2" width="22.28515625" style="6" customWidth="1"/>
    <col min="3" max="42" width="12.7109375" style="6" customWidth="1"/>
    <col min="43" max="49" width="9.140625" style="6" customWidth="1"/>
    <col min="50" max="16384" width="9.140625" style="6"/>
  </cols>
  <sheetData>
    <row r="1" spans="1:42" ht="15" customHeight="1" x14ac:dyDescent="0.25">
      <c r="C1" s="52" t="s">
        <v>15</v>
      </c>
      <c r="D1" s="52" t="s">
        <v>16</v>
      </c>
      <c r="E1" s="52" t="s">
        <v>17</v>
      </c>
      <c r="F1" s="52" t="s">
        <v>18</v>
      </c>
      <c r="G1" s="52" t="s">
        <v>19</v>
      </c>
      <c r="H1" s="52" t="s">
        <v>20</v>
      </c>
      <c r="I1" s="52" t="s">
        <v>21</v>
      </c>
      <c r="J1" s="52" t="s">
        <v>22</v>
      </c>
      <c r="K1" s="52" t="s">
        <v>23</v>
      </c>
      <c r="L1" s="52" t="s">
        <v>24</v>
      </c>
      <c r="M1" s="52" t="s">
        <v>25</v>
      </c>
      <c r="N1" s="52" t="s">
        <v>26</v>
      </c>
      <c r="O1" s="52" t="s">
        <v>27</v>
      </c>
      <c r="P1" s="52" t="s">
        <v>28</v>
      </c>
      <c r="Q1" s="52" t="s">
        <v>29</v>
      </c>
      <c r="R1" s="52" t="s">
        <v>30</v>
      </c>
      <c r="S1" s="52" t="s">
        <v>31</v>
      </c>
      <c r="T1" s="52" t="s">
        <v>32</v>
      </c>
      <c r="U1" s="52" t="s">
        <v>33</v>
      </c>
      <c r="V1" s="52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</row>
    <row r="2" spans="1:42" ht="15" customHeight="1" x14ac:dyDescent="0.25">
      <c r="A2" s="6" t="s">
        <v>82</v>
      </c>
      <c r="C2" s="26">
        <f>_xlfn.NUMBERVALUE(tsh_IS!D12)</f>
        <v>1.2</v>
      </c>
      <c r="D2" s="26">
        <f>_xlfn.NUMBERVALUE(tsh_IS!E12)</f>
        <v>1.2</v>
      </c>
      <c r="E2" s="26">
        <f>_xlfn.NUMBERVALUE(tsh_IS!F12)</f>
        <v>1.4</v>
      </c>
      <c r="F2" s="26">
        <f>_xlfn.NUMBERVALUE(tsh_IS!G12)</f>
        <v>1.4</v>
      </c>
      <c r="G2" s="26">
        <f>_xlfn.NUMBERVALUE(tsh_IS!H12)</f>
        <v>1.7</v>
      </c>
      <c r="H2" s="26">
        <f>_xlfn.NUMBERVALUE(tsh_IS!I12)</f>
        <v>1.7</v>
      </c>
      <c r="I2" s="26">
        <f>_xlfn.NUMBERVALUE(tsh_IS!J12)</f>
        <v>1.6</v>
      </c>
      <c r="J2" s="26">
        <f>_xlfn.NUMBERVALUE(tsh_IS!K12)</f>
        <v>1.6</v>
      </c>
      <c r="K2" s="26">
        <f>_xlfn.NUMBERVALUE(tsh_IS!L12)</f>
        <v>1.9</v>
      </c>
      <c r="L2" s="26">
        <f>_xlfn.NUMBERVALUE(tsh_IS!M12)</f>
        <v>1.9</v>
      </c>
      <c r="M2" s="26">
        <f>_xlfn.NUMBERVALUE(tsh_IS!N12)</f>
        <v>2</v>
      </c>
      <c r="N2" s="26">
        <f>_xlfn.NUMBERVALUE(tsh_IS!O12)</f>
        <v>2</v>
      </c>
      <c r="O2" s="26">
        <f>_xlfn.NUMBERVALUE(tsh_IS!P12)</f>
        <v>0.9</v>
      </c>
      <c r="P2" s="26">
        <f>_xlfn.NUMBERVALUE(tsh_IS!Q12)</f>
        <v>0.9</v>
      </c>
      <c r="Q2" s="26">
        <f>_xlfn.NUMBERVALUE(tsh_IS!R12)</f>
        <v>1.2</v>
      </c>
      <c r="R2" s="26">
        <f>_xlfn.NUMBERVALUE(tsh_IS!S12)</f>
        <v>1.2</v>
      </c>
      <c r="S2" s="26">
        <f>_xlfn.NUMBERVALUE(tsh_IS!T12)</f>
        <v>1.3</v>
      </c>
      <c r="T2" s="26">
        <f>_xlfn.NUMBERVALUE(tsh_IS!U12)</f>
        <v>1.3</v>
      </c>
      <c r="U2" s="26">
        <f>_xlfn.NUMBERVALUE(tsh_IS!V12)</f>
        <v>1.3</v>
      </c>
      <c r="V2" s="26">
        <f>_xlfn.NUMBERVALUE(tsh_IS!W12)</f>
        <v>1.3</v>
      </c>
      <c r="W2" s="26">
        <f>_xlfn.NUMBERVALUE(tsh_IS!X12)</f>
        <v>1.7</v>
      </c>
      <c r="X2" s="26">
        <f>_xlfn.NUMBERVALUE(tsh_IS!Y12)</f>
        <v>1.7</v>
      </c>
      <c r="Y2" s="26">
        <f>_xlfn.NUMBERVALUE(tsh_IS!Z12)</f>
        <v>2.7</v>
      </c>
      <c r="Z2" s="26">
        <f>_xlfn.NUMBERVALUE(tsh_IS!AA12)</f>
        <v>2.7</v>
      </c>
      <c r="AA2" s="26">
        <f>_xlfn.NUMBERVALUE(tsh_IS!AB12)</f>
        <v>2.5</v>
      </c>
      <c r="AB2" s="26">
        <f>_xlfn.NUMBERVALUE(tsh_IS!AC12)</f>
        <v>2.5</v>
      </c>
      <c r="AC2" s="26">
        <f>_xlfn.NUMBERVALUE(tsh_IS!AD12)</f>
        <v>3</v>
      </c>
      <c r="AD2" s="26">
        <f>_xlfn.NUMBERVALUE(tsh_IS!AE12)</f>
        <v>3</v>
      </c>
      <c r="AE2" s="26">
        <f>_xlfn.NUMBERVALUE(tsh_IS!AF12)</f>
        <v>2.5</v>
      </c>
      <c r="AF2" s="26">
        <f>_xlfn.NUMBERVALUE(tsh_IS!AG12)</f>
        <v>2.5</v>
      </c>
      <c r="AG2" s="26">
        <f>_xlfn.NUMBERVALUE(tsh_IS!AH12)</f>
        <v>3.3</v>
      </c>
      <c r="AH2" s="26">
        <f>_xlfn.NUMBERVALUE(tsh_IS!AI12)</f>
        <v>3.3</v>
      </c>
      <c r="AI2" s="26">
        <f>_xlfn.NUMBERVALUE(tsh_IS!AJ12)</f>
        <v>2.8</v>
      </c>
      <c r="AJ2" s="26">
        <f>_xlfn.NUMBERVALUE(tsh_IS!AK12)</f>
        <v>2.8</v>
      </c>
      <c r="AK2" s="26"/>
      <c r="AL2" s="26"/>
      <c r="AM2" s="26"/>
      <c r="AN2" s="26"/>
      <c r="AO2" s="26"/>
      <c r="AP2" s="26"/>
    </row>
    <row r="3" spans="1:42" ht="15" customHeight="1" x14ac:dyDescent="0.25">
      <c r="A3" s="14"/>
      <c r="B3" s="14" t="s">
        <v>68</v>
      </c>
      <c r="C3" s="15"/>
      <c r="D3" s="15">
        <f t="shared" ref="D3:V3" si="0">D2/C2-1</f>
        <v>0</v>
      </c>
      <c r="E3" s="15">
        <f t="shared" si="0"/>
        <v>0.16666666666666674</v>
      </c>
      <c r="F3" s="15">
        <f t="shared" si="0"/>
        <v>0</v>
      </c>
      <c r="G3" s="15">
        <f t="shared" si="0"/>
        <v>0.21428571428571441</v>
      </c>
      <c r="H3" s="15">
        <f t="shared" si="0"/>
        <v>0</v>
      </c>
      <c r="I3" s="15">
        <f t="shared" si="0"/>
        <v>-5.8823529411764608E-2</v>
      </c>
      <c r="J3" s="15">
        <f t="shared" si="0"/>
        <v>0</v>
      </c>
      <c r="K3" s="15">
        <f t="shared" si="0"/>
        <v>0.18749999999999978</v>
      </c>
      <c r="L3" s="15">
        <f t="shared" si="0"/>
        <v>0</v>
      </c>
      <c r="M3" s="15">
        <f t="shared" si="0"/>
        <v>5.2631578947368363E-2</v>
      </c>
      <c r="N3" s="15">
        <f t="shared" si="0"/>
        <v>0</v>
      </c>
      <c r="O3" s="56">
        <f t="shared" si="0"/>
        <v>-0.55000000000000004</v>
      </c>
      <c r="P3" s="56">
        <f t="shared" si="0"/>
        <v>0</v>
      </c>
      <c r="Q3" s="56">
        <f t="shared" si="0"/>
        <v>0.33333333333333326</v>
      </c>
      <c r="R3" s="56">
        <f t="shared" si="0"/>
        <v>0</v>
      </c>
      <c r="S3" s="56">
        <f t="shared" si="0"/>
        <v>8.3333333333333481E-2</v>
      </c>
      <c r="T3" s="56">
        <f t="shared" si="0"/>
        <v>0</v>
      </c>
      <c r="U3" s="56">
        <f t="shared" si="0"/>
        <v>0</v>
      </c>
      <c r="V3" s="56">
        <f t="shared" si="0"/>
        <v>0</v>
      </c>
      <c r="W3" s="56">
        <f>W2/U2-1</f>
        <v>0.30769230769230771</v>
      </c>
      <c r="X3" s="56">
        <f>X2/U2-1</f>
        <v>0.30769230769230771</v>
      </c>
      <c r="Y3" s="56">
        <f>Y2/U2-1</f>
        <v>1.0769230769230771</v>
      </c>
      <c r="Z3" s="56">
        <f>Z2/U2-1</f>
        <v>1.0769230769230771</v>
      </c>
      <c r="AA3" s="56">
        <f>AA2/U2-1</f>
        <v>0.92307692307692291</v>
      </c>
      <c r="AB3" s="56">
        <f>AB2/U2-1</f>
        <v>0.92307692307692291</v>
      </c>
      <c r="AC3" s="56">
        <f>AC2/U2-1</f>
        <v>1.3076923076923075</v>
      </c>
      <c r="AD3" s="56">
        <f>AD2/U2-1</f>
        <v>1.3076923076923075</v>
      </c>
      <c r="AE3" s="56">
        <f>AE2/U2-1</f>
        <v>0.92307692307692291</v>
      </c>
      <c r="AF3" s="56">
        <f>AF2/U2-1</f>
        <v>0.92307692307692291</v>
      </c>
      <c r="AG3" s="56">
        <f>AG2/U2-1</f>
        <v>1.5384615384615383</v>
      </c>
      <c r="AH3" s="56">
        <f>AH2/U2-1</f>
        <v>1.5384615384615383</v>
      </c>
      <c r="AI3" s="56">
        <f>AI2/U2-1</f>
        <v>1.1538461538461537</v>
      </c>
      <c r="AJ3" s="56">
        <f>AJ2/U2-1</f>
        <v>1.1538461538461537</v>
      </c>
      <c r="AK3" s="56"/>
      <c r="AL3" s="56"/>
      <c r="AM3" s="56"/>
      <c r="AN3" s="56"/>
      <c r="AO3" s="56"/>
      <c r="AP3" s="56"/>
    </row>
    <row r="4" spans="1:42" ht="15" customHeight="1" x14ac:dyDescent="0.25">
      <c r="A4" s="14"/>
      <c r="B4" s="14" t="s">
        <v>69</v>
      </c>
      <c r="C4" s="15"/>
      <c r="D4" s="15"/>
      <c r="E4" s="15"/>
      <c r="F4" s="15"/>
      <c r="G4" s="15">
        <f t="shared" ref="G4:V4" si="1">G2/C2-1</f>
        <v>0.41666666666666674</v>
      </c>
      <c r="H4" s="15">
        <f t="shared" si="1"/>
        <v>0.41666666666666674</v>
      </c>
      <c r="I4" s="15">
        <f t="shared" si="1"/>
        <v>0.14285714285714302</v>
      </c>
      <c r="J4" s="15">
        <f t="shared" si="1"/>
        <v>0.14285714285714302</v>
      </c>
      <c r="K4" s="15">
        <f t="shared" si="1"/>
        <v>0.11764705882352944</v>
      </c>
      <c r="L4" s="15">
        <f t="shared" si="1"/>
        <v>0.11764705882352944</v>
      </c>
      <c r="M4" s="15">
        <f t="shared" si="1"/>
        <v>0.25</v>
      </c>
      <c r="N4" s="15">
        <f t="shared" si="1"/>
        <v>0.25</v>
      </c>
      <c r="O4" s="56">
        <f t="shared" si="1"/>
        <v>-0.52631578947368418</v>
      </c>
      <c r="P4" s="56">
        <f t="shared" si="1"/>
        <v>-0.52631578947368418</v>
      </c>
      <c r="Q4" s="56">
        <f t="shared" si="1"/>
        <v>-0.4</v>
      </c>
      <c r="R4" s="56">
        <f t="shared" si="1"/>
        <v>-0.4</v>
      </c>
      <c r="S4" s="56">
        <f t="shared" si="1"/>
        <v>0.44444444444444442</v>
      </c>
      <c r="T4" s="56">
        <f t="shared" si="1"/>
        <v>0.44444444444444442</v>
      </c>
      <c r="U4" s="56">
        <f t="shared" si="1"/>
        <v>8.3333333333333481E-2</v>
      </c>
      <c r="V4" s="56">
        <f t="shared" si="1"/>
        <v>8.3333333333333481E-2</v>
      </c>
      <c r="W4" s="56">
        <f>W2/R2-1</f>
        <v>0.41666666666666674</v>
      </c>
      <c r="X4" s="56">
        <f>X2/R2-1</f>
        <v>0.41666666666666674</v>
      </c>
      <c r="Y4" s="56">
        <f>Y2/R2-1</f>
        <v>1.2500000000000004</v>
      </c>
      <c r="Z4" s="56">
        <f>Z2/R2-1</f>
        <v>1.2500000000000004</v>
      </c>
      <c r="AA4" s="56">
        <f>AA2/R2-1</f>
        <v>1.0833333333333335</v>
      </c>
      <c r="AB4" s="56">
        <f>AB2/R2-1</f>
        <v>1.0833333333333335</v>
      </c>
      <c r="AC4" s="56">
        <f>AC2/R2-1</f>
        <v>1.5</v>
      </c>
      <c r="AD4" s="56">
        <f>AD2/R2-1</f>
        <v>1.5</v>
      </c>
      <c r="AE4" s="56">
        <f>AE2/R2-1</f>
        <v>1.0833333333333335</v>
      </c>
      <c r="AF4" s="56">
        <f>AF2/R2-1</f>
        <v>1.0833333333333335</v>
      </c>
      <c r="AG4" s="56">
        <f>AG2/R2-1</f>
        <v>1.75</v>
      </c>
      <c r="AH4" s="56">
        <f>AH2/R2-1</f>
        <v>1.75</v>
      </c>
      <c r="AI4" s="56">
        <f>AI2/R2-1</f>
        <v>1.3333333333333335</v>
      </c>
      <c r="AJ4" s="56">
        <f>AJ2/R2-1</f>
        <v>1.3333333333333335</v>
      </c>
      <c r="AK4" s="56"/>
      <c r="AL4" s="56"/>
      <c r="AM4" s="56"/>
      <c r="AN4" s="56"/>
      <c r="AO4" s="56"/>
      <c r="AP4" s="56"/>
    </row>
    <row r="5" spans="1:42" x14ac:dyDescent="0.2"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</row>
    <row r="6" spans="1:42" ht="15" customHeight="1" x14ac:dyDescent="0.25">
      <c r="A6" s="6" t="s">
        <v>83</v>
      </c>
      <c r="C6" s="26">
        <f>_xlfn.NUMBERVALUE(tsh_IS!D16)</f>
        <v>0.7</v>
      </c>
      <c r="D6" s="26">
        <f>_xlfn.NUMBERVALUE(tsh_IS!E16)</f>
        <v>0.7</v>
      </c>
      <c r="E6" s="26">
        <f>_xlfn.NUMBERVALUE(tsh_IS!F16)</f>
        <v>1.1000000000000001</v>
      </c>
      <c r="F6" s="26">
        <f>_xlfn.NUMBERVALUE(tsh_IS!G16)</f>
        <v>1.1000000000000001</v>
      </c>
      <c r="G6" s="26">
        <f>_xlfn.NUMBERVALUE(tsh_IS!H16)</f>
        <v>1.1000000000000001</v>
      </c>
      <c r="H6" s="26">
        <f>_xlfn.NUMBERVALUE(tsh_IS!I16)</f>
        <v>1.1000000000000001</v>
      </c>
      <c r="I6" s="26">
        <f>_xlfn.NUMBERVALUE(tsh_IS!J16)</f>
        <v>1.3</v>
      </c>
      <c r="J6" s="26">
        <f>_xlfn.NUMBERVALUE(tsh_IS!K16)</f>
        <v>1.3</v>
      </c>
      <c r="K6" s="26">
        <f>_xlfn.NUMBERVALUE(tsh_IS!L16)</f>
        <v>1.4</v>
      </c>
      <c r="L6" s="26">
        <f>_xlfn.NUMBERVALUE(tsh_IS!M16)</f>
        <v>1.4</v>
      </c>
      <c r="M6" s="26">
        <f>_xlfn.NUMBERVALUE(tsh_IS!N16)</f>
        <v>1.5</v>
      </c>
      <c r="N6" s="26">
        <f>_xlfn.NUMBERVALUE(tsh_IS!O16)</f>
        <v>1.5</v>
      </c>
      <c r="O6" s="26">
        <f>_xlfn.NUMBERVALUE(tsh_IS!P16)</f>
        <v>0.7</v>
      </c>
      <c r="P6" s="26">
        <f>_xlfn.NUMBERVALUE(tsh_IS!Q16)</f>
        <v>0.7</v>
      </c>
      <c r="Q6" s="26">
        <f>_xlfn.NUMBERVALUE(tsh_IS!R16)</f>
        <v>0.8</v>
      </c>
      <c r="R6" s="26">
        <f>_xlfn.NUMBERVALUE(tsh_IS!S16)</f>
        <v>0.8</v>
      </c>
      <c r="S6" s="26">
        <f>_xlfn.NUMBERVALUE(tsh_IS!T16)</f>
        <v>1</v>
      </c>
      <c r="T6" s="26">
        <f>_xlfn.NUMBERVALUE(tsh_IS!U16)</f>
        <v>1</v>
      </c>
      <c r="U6" s="26">
        <f>_xlfn.NUMBERVALUE(tsh_IS!V16)</f>
        <v>0.9</v>
      </c>
      <c r="V6" s="26">
        <f>_xlfn.NUMBERVALUE(tsh_IS!W16)</f>
        <v>0.9</v>
      </c>
      <c r="W6" s="26">
        <f>_xlfn.NUMBERVALUE(tsh_IS!X16)</f>
        <v>1.3</v>
      </c>
      <c r="X6" s="26">
        <f>_xlfn.NUMBERVALUE(tsh_IS!Y16)</f>
        <v>1.3</v>
      </c>
      <c r="Y6" s="26">
        <f>_xlfn.NUMBERVALUE(tsh_IS!Z16)</f>
        <v>2.1</v>
      </c>
      <c r="Z6" s="26">
        <f>_xlfn.NUMBERVALUE(tsh_IS!AA16)</f>
        <v>2.1</v>
      </c>
      <c r="AA6" s="26">
        <f>_xlfn.NUMBERVALUE(tsh_IS!AB16)</f>
        <v>1.8</v>
      </c>
      <c r="AB6" s="26">
        <f>_xlfn.NUMBERVALUE(tsh_IS!AC16)</f>
        <v>1.8</v>
      </c>
      <c r="AC6" s="26">
        <f>_xlfn.NUMBERVALUE(tsh_IS!AD16)</f>
        <v>2.2999999999999998</v>
      </c>
      <c r="AD6" s="26">
        <f>_xlfn.NUMBERVALUE(tsh_IS!AE16)</f>
        <v>2.2999999999999998</v>
      </c>
      <c r="AE6" s="26">
        <f>_xlfn.NUMBERVALUE(tsh_IS!AF16)</f>
        <v>1.9</v>
      </c>
      <c r="AF6" s="26">
        <f>_xlfn.NUMBERVALUE(tsh_IS!AG16)</f>
        <v>1.9</v>
      </c>
      <c r="AG6" s="26">
        <f>_xlfn.NUMBERVALUE(tsh_IS!AH16)</f>
        <v>2.5</v>
      </c>
      <c r="AH6" s="26">
        <f>_xlfn.NUMBERVALUE(tsh_IS!AI16)</f>
        <v>2.5</v>
      </c>
      <c r="AI6" s="26">
        <f>_xlfn.NUMBERVALUE(tsh_IS!AJ16)</f>
        <v>2.1</v>
      </c>
      <c r="AJ6" s="26">
        <f>_xlfn.NUMBERVALUE(tsh_IS!AK16)</f>
        <v>2.1</v>
      </c>
      <c r="AK6" s="58"/>
      <c r="AL6" s="58"/>
      <c r="AM6" s="58"/>
      <c r="AN6" s="58"/>
      <c r="AO6" s="58"/>
      <c r="AP6" s="58"/>
    </row>
    <row r="7" spans="1:42" ht="15" customHeight="1" x14ac:dyDescent="0.25">
      <c r="A7" s="14"/>
      <c r="B7" s="14" t="s">
        <v>84</v>
      </c>
      <c r="C7" s="15">
        <f t="shared" ref="C7:AJ7" si="2">C6/C2</f>
        <v>0.58333333333333337</v>
      </c>
      <c r="D7" s="15">
        <f t="shared" si="2"/>
        <v>0.58333333333333337</v>
      </c>
      <c r="E7" s="15">
        <f t="shared" si="2"/>
        <v>0.78571428571428581</v>
      </c>
      <c r="F7" s="15">
        <f t="shared" si="2"/>
        <v>0.78571428571428581</v>
      </c>
      <c r="G7" s="15">
        <f t="shared" si="2"/>
        <v>0.6470588235294118</v>
      </c>
      <c r="H7" s="15">
        <f t="shared" si="2"/>
        <v>0.6470588235294118</v>
      </c>
      <c r="I7" s="15">
        <f t="shared" si="2"/>
        <v>0.8125</v>
      </c>
      <c r="J7" s="15">
        <f t="shared" si="2"/>
        <v>0.8125</v>
      </c>
      <c r="K7" s="15">
        <f t="shared" si="2"/>
        <v>0.73684210526315785</v>
      </c>
      <c r="L7" s="15">
        <f t="shared" si="2"/>
        <v>0.73684210526315785</v>
      </c>
      <c r="M7" s="15">
        <f t="shared" si="2"/>
        <v>0.75</v>
      </c>
      <c r="N7" s="15">
        <f t="shared" si="2"/>
        <v>0.75</v>
      </c>
      <c r="O7" s="56">
        <f t="shared" si="2"/>
        <v>0.77777777777777768</v>
      </c>
      <c r="P7" s="56">
        <f t="shared" si="2"/>
        <v>0.77777777777777768</v>
      </c>
      <c r="Q7" s="56">
        <f t="shared" si="2"/>
        <v>0.66666666666666674</v>
      </c>
      <c r="R7" s="56">
        <f t="shared" si="2"/>
        <v>0.66666666666666674</v>
      </c>
      <c r="S7" s="56">
        <f t="shared" si="2"/>
        <v>0.76923076923076916</v>
      </c>
      <c r="T7" s="56">
        <f t="shared" si="2"/>
        <v>0.76923076923076916</v>
      </c>
      <c r="U7" s="56">
        <f t="shared" si="2"/>
        <v>0.69230769230769229</v>
      </c>
      <c r="V7" s="56">
        <f t="shared" si="2"/>
        <v>0.69230769230769229</v>
      </c>
      <c r="W7" s="56">
        <f t="shared" si="2"/>
        <v>0.76470588235294124</v>
      </c>
      <c r="X7" s="56">
        <f t="shared" si="2"/>
        <v>0.76470588235294124</v>
      </c>
      <c r="Y7" s="56">
        <f t="shared" si="2"/>
        <v>0.77777777777777779</v>
      </c>
      <c r="Z7" s="56">
        <f t="shared" si="2"/>
        <v>0.77777777777777779</v>
      </c>
      <c r="AA7" s="56">
        <f t="shared" si="2"/>
        <v>0.72</v>
      </c>
      <c r="AB7" s="56">
        <f t="shared" si="2"/>
        <v>0.72</v>
      </c>
      <c r="AC7" s="56">
        <f t="shared" si="2"/>
        <v>0.76666666666666661</v>
      </c>
      <c r="AD7" s="56">
        <f t="shared" si="2"/>
        <v>0.76666666666666661</v>
      </c>
      <c r="AE7" s="56">
        <f t="shared" si="2"/>
        <v>0.76</v>
      </c>
      <c r="AF7" s="56">
        <f t="shared" si="2"/>
        <v>0.76</v>
      </c>
      <c r="AG7" s="56">
        <f t="shared" si="2"/>
        <v>0.75757575757575757</v>
      </c>
      <c r="AH7" s="56">
        <f t="shared" si="2"/>
        <v>0.75757575757575757</v>
      </c>
      <c r="AI7" s="56">
        <f t="shared" si="2"/>
        <v>0.75000000000000011</v>
      </c>
      <c r="AJ7" s="56">
        <f t="shared" si="2"/>
        <v>0.75000000000000011</v>
      </c>
      <c r="AK7" s="56"/>
      <c r="AL7" s="56"/>
      <c r="AM7" s="56"/>
      <c r="AN7" s="56"/>
      <c r="AO7" s="56"/>
      <c r="AP7" s="56"/>
    </row>
    <row r="8" spans="1:42" ht="15" customHeight="1" x14ac:dyDescent="0.25">
      <c r="A8" s="14"/>
      <c r="B8" s="14" t="s">
        <v>85</v>
      </c>
      <c r="C8" s="15">
        <f>AVERAGE(C7:C7)</f>
        <v>0.58333333333333337</v>
      </c>
      <c r="D8" s="15">
        <f>AVERAGE(C7:D7)</f>
        <v>0.58333333333333337</v>
      </c>
      <c r="E8" s="15">
        <f>AVERAGE(C7:E7)</f>
        <v>0.65079365079365081</v>
      </c>
      <c r="F8" s="15">
        <f t="shared" ref="F8:V8" si="3">AVERAGE(C7:F7)</f>
        <v>0.68452380952380953</v>
      </c>
      <c r="G8" s="15">
        <f t="shared" si="3"/>
        <v>0.7004551820728292</v>
      </c>
      <c r="H8" s="15">
        <f t="shared" si="3"/>
        <v>0.71638655462184875</v>
      </c>
      <c r="I8" s="15">
        <f t="shared" si="3"/>
        <v>0.72308298319327735</v>
      </c>
      <c r="J8" s="15">
        <f t="shared" si="3"/>
        <v>0.72977941176470584</v>
      </c>
      <c r="K8" s="15">
        <f t="shared" si="3"/>
        <v>0.75222523219814241</v>
      </c>
      <c r="L8" s="15">
        <f t="shared" si="3"/>
        <v>0.77467105263157898</v>
      </c>
      <c r="M8" s="15">
        <f t="shared" si="3"/>
        <v>0.75904605263157898</v>
      </c>
      <c r="N8" s="15">
        <f t="shared" si="3"/>
        <v>0.74342105263157898</v>
      </c>
      <c r="O8" s="56">
        <f t="shared" si="3"/>
        <v>0.75365497076023391</v>
      </c>
      <c r="P8" s="56">
        <f t="shared" si="3"/>
        <v>0.76388888888888884</v>
      </c>
      <c r="Q8" s="56">
        <f t="shared" si="3"/>
        <v>0.74305555555555558</v>
      </c>
      <c r="R8" s="56">
        <f t="shared" si="3"/>
        <v>0.72222222222222232</v>
      </c>
      <c r="S8" s="56">
        <f t="shared" si="3"/>
        <v>0.72008547008547008</v>
      </c>
      <c r="T8" s="56">
        <f t="shared" si="3"/>
        <v>0.71794871794871795</v>
      </c>
      <c r="U8" s="56">
        <f t="shared" si="3"/>
        <v>0.72435897435897445</v>
      </c>
      <c r="V8" s="56">
        <f t="shared" si="3"/>
        <v>0.73076923076923084</v>
      </c>
      <c r="W8" s="56">
        <f>AVERAGE(S7:W7)</f>
        <v>0.73755656108597289</v>
      </c>
      <c r="X8" s="56">
        <f>AVERAGE(S7:X7)</f>
        <v>0.74208144796380093</v>
      </c>
      <c r="Y8" s="56">
        <f>AVERAGE(S7:Y7)</f>
        <v>0.7471809236515119</v>
      </c>
      <c r="Z8" s="56">
        <f>AVERAGE(S7:Z7)</f>
        <v>0.75100553041729512</v>
      </c>
      <c r="AA8" s="56">
        <f>AVERAGE(S7:AA7)</f>
        <v>0.74756047148204008</v>
      </c>
      <c r="AB8" s="56">
        <f>AVERAGE(S7:AB7)</f>
        <v>0.74480442433383609</v>
      </c>
      <c r="AC8" s="56">
        <f>AVERAGE(S7:AC7)</f>
        <v>0.74679190090954795</v>
      </c>
      <c r="AD8" s="56">
        <f>AVERAGE(S7:AD7)</f>
        <v>0.74844813138930777</v>
      </c>
      <c r="AE8" s="56">
        <f>AVERAGE(S7:AE7)</f>
        <v>0.74933673666705336</v>
      </c>
      <c r="AF8" s="56">
        <f>AVERAGE(S7:AF7)</f>
        <v>0.75009839833369241</v>
      </c>
      <c r="AG8" s="56">
        <f>AVERAGE(S7:AG7)</f>
        <v>0.75059688894983012</v>
      </c>
      <c r="AH8" s="56">
        <f>AVERAGE(S7:AH7)</f>
        <v>0.75103306823895055</v>
      </c>
      <c r="AI8" s="56">
        <f>AVERAGE(S7:AI7)</f>
        <v>0.75097229951901223</v>
      </c>
      <c r="AJ8" s="56">
        <f>AVERAGE(S7:AJ7)</f>
        <v>0.75091828287906714</v>
      </c>
      <c r="AK8" s="56"/>
      <c r="AL8" s="56"/>
      <c r="AM8" s="56"/>
      <c r="AN8" s="56"/>
      <c r="AO8" s="56"/>
      <c r="AP8" s="56"/>
    </row>
    <row r="9" spans="1:42" x14ac:dyDescent="0.2"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</row>
    <row r="10" spans="1:42" ht="15" customHeight="1" x14ac:dyDescent="0.25">
      <c r="A10" s="6" t="s">
        <v>86</v>
      </c>
      <c r="C10" s="26">
        <f>_xlfn.NUMBERVALUE(tsh_IS!D32)</f>
        <v>0.1</v>
      </c>
      <c r="D10" s="26">
        <f>_xlfn.NUMBERVALUE(tsh_IS!E32)</f>
        <v>0.1</v>
      </c>
      <c r="E10" s="26">
        <f>_xlfn.NUMBERVALUE(tsh_IS!F32)</f>
        <v>0.4</v>
      </c>
      <c r="F10" s="26">
        <f>_xlfn.NUMBERVALUE(tsh_IS!G32)</f>
        <v>0.4</v>
      </c>
      <c r="G10" s="26">
        <f>_xlfn.NUMBERVALUE(tsh_IS!H32)</f>
        <v>0.3</v>
      </c>
      <c r="H10" s="26">
        <f>_xlfn.NUMBERVALUE(tsh_IS!I32)</f>
        <v>0.3</v>
      </c>
      <c r="I10" s="26">
        <f>_xlfn.NUMBERVALUE(tsh_IS!J32)</f>
        <v>-0.1</v>
      </c>
      <c r="J10" s="26">
        <f>_xlfn.NUMBERVALUE(tsh_IS!K32)</f>
        <v>-0.1</v>
      </c>
      <c r="K10" s="26">
        <f>_xlfn.NUMBERVALUE(tsh_IS!L32)</f>
        <v>0.2</v>
      </c>
      <c r="L10" s="26">
        <f>_xlfn.NUMBERVALUE(tsh_IS!M32)</f>
        <v>0.2</v>
      </c>
      <c r="M10" s="26">
        <f>_xlfn.NUMBERVALUE(tsh_IS!N32)</f>
        <v>0.1</v>
      </c>
      <c r="N10" s="26">
        <f>_xlfn.NUMBERVALUE(tsh_IS!O32)</f>
        <v>0.1</v>
      </c>
      <c r="O10" s="26">
        <f>_xlfn.NUMBERVALUE(tsh_IS!P32)</f>
        <v>-0.3</v>
      </c>
      <c r="P10" s="26">
        <f>_xlfn.NUMBERVALUE(tsh_IS!Q32)</f>
        <v>-0.3</v>
      </c>
      <c r="Q10" s="26">
        <f>_xlfn.NUMBERVALUE(tsh_IS!R32)</f>
        <v>-0.7</v>
      </c>
      <c r="R10" s="26">
        <f>_xlfn.NUMBERVALUE(tsh_IS!S32)</f>
        <v>-0.7</v>
      </c>
      <c r="S10" s="26">
        <f>_xlfn.NUMBERVALUE(tsh_IS!T32)</f>
        <v>0.1</v>
      </c>
      <c r="T10" s="26">
        <f>_xlfn.NUMBERVALUE(tsh_IS!U32)</f>
        <v>0.1</v>
      </c>
      <c r="U10" s="26">
        <f>_xlfn.NUMBERVALUE(tsh_IS!V32)</f>
        <v>-0.3</v>
      </c>
      <c r="V10" s="26">
        <f>_xlfn.NUMBERVALUE(tsh_IS!W32)</f>
        <v>-0.3</v>
      </c>
      <c r="W10" s="26">
        <f>_xlfn.NUMBERVALUE(tsh_IS!X32)</f>
        <v>0.2</v>
      </c>
      <c r="X10" s="26">
        <f>_xlfn.NUMBERVALUE(tsh_IS!Y32)</f>
        <v>0.2</v>
      </c>
      <c r="Y10" s="26">
        <f>_xlfn.NUMBERVALUE(tsh_IS!Z32)</f>
        <v>0.3</v>
      </c>
      <c r="Z10" s="26">
        <f>_xlfn.NUMBERVALUE(tsh_IS!AA32)</f>
        <v>0.3</v>
      </c>
      <c r="AA10" s="26">
        <f>_xlfn.NUMBERVALUE(tsh_IS!AB32)</f>
        <v>0.1</v>
      </c>
      <c r="AB10" s="26">
        <f>_xlfn.NUMBERVALUE(tsh_IS!AC32)</f>
        <v>0.1</v>
      </c>
      <c r="AC10" s="26">
        <f>_xlfn.NUMBERVALUE(tsh_IS!AD32)</f>
        <v>0.1</v>
      </c>
      <c r="AD10" s="26">
        <f>_xlfn.NUMBERVALUE(tsh_IS!AE32)</f>
        <v>0.1</v>
      </c>
      <c r="AE10" s="26">
        <f>_xlfn.NUMBERVALUE(tsh_IS!AF32)</f>
        <v>0.1</v>
      </c>
      <c r="AF10" s="26">
        <f>_xlfn.NUMBERVALUE(tsh_IS!AG32)</f>
        <v>0.1</v>
      </c>
      <c r="AG10" s="26">
        <f>_xlfn.NUMBERVALUE(tsh_IS!AH32)</f>
        <v>0.3</v>
      </c>
      <c r="AH10" s="26">
        <f>_xlfn.NUMBERVALUE(tsh_IS!AI32)</f>
        <v>0.3</v>
      </c>
      <c r="AI10" s="26">
        <f>_xlfn.NUMBERVALUE(tsh_IS!AJ32)</f>
        <v>0.2</v>
      </c>
      <c r="AJ10" s="26">
        <f>_xlfn.NUMBERVALUE(tsh_IS!AK32)</f>
        <v>0.2</v>
      </c>
      <c r="AK10" s="34"/>
      <c r="AL10" s="34"/>
      <c r="AM10" s="34"/>
      <c r="AN10" s="34"/>
      <c r="AO10" s="34"/>
      <c r="AP10" s="34"/>
    </row>
    <row r="11" spans="1:42" ht="15" customHeight="1" x14ac:dyDescent="0.25">
      <c r="A11" s="14"/>
      <c r="B11" s="14" t="s">
        <v>84</v>
      </c>
      <c r="C11" s="15">
        <f t="shared" ref="C11:AJ11" si="4">C10/C2</f>
        <v>8.3333333333333343E-2</v>
      </c>
      <c r="D11" s="15">
        <f t="shared" si="4"/>
        <v>8.3333333333333343E-2</v>
      </c>
      <c r="E11" s="15">
        <f t="shared" si="4"/>
        <v>0.28571428571428575</v>
      </c>
      <c r="F11" s="15">
        <f t="shared" si="4"/>
        <v>0.28571428571428575</v>
      </c>
      <c r="G11" s="15">
        <f t="shared" si="4"/>
        <v>0.17647058823529413</v>
      </c>
      <c r="H11" s="15">
        <f t="shared" si="4"/>
        <v>0.17647058823529413</v>
      </c>
      <c r="I11" s="15">
        <f t="shared" si="4"/>
        <v>-6.25E-2</v>
      </c>
      <c r="J11" s="15">
        <f t="shared" si="4"/>
        <v>-6.25E-2</v>
      </c>
      <c r="K11" s="15">
        <f t="shared" si="4"/>
        <v>0.10526315789473685</v>
      </c>
      <c r="L11" s="15">
        <f t="shared" si="4"/>
        <v>0.10526315789473685</v>
      </c>
      <c r="M11" s="15">
        <f t="shared" si="4"/>
        <v>0.05</v>
      </c>
      <c r="N11" s="15">
        <f t="shared" si="4"/>
        <v>0.05</v>
      </c>
      <c r="O11" s="56">
        <f t="shared" si="4"/>
        <v>-0.33333333333333331</v>
      </c>
      <c r="P11" s="56">
        <f t="shared" si="4"/>
        <v>-0.33333333333333331</v>
      </c>
      <c r="Q11" s="56">
        <f t="shared" si="4"/>
        <v>-0.58333333333333337</v>
      </c>
      <c r="R11" s="56">
        <f t="shared" si="4"/>
        <v>-0.58333333333333337</v>
      </c>
      <c r="S11" s="56">
        <f t="shared" si="4"/>
        <v>7.6923076923076927E-2</v>
      </c>
      <c r="T11" s="56">
        <f t="shared" si="4"/>
        <v>7.6923076923076927E-2</v>
      </c>
      <c r="U11" s="56">
        <f t="shared" si="4"/>
        <v>-0.23076923076923075</v>
      </c>
      <c r="V11" s="56">
        <f t="shared" si="4"/>
        <v>-0.23076923076923075</v>
      </c>
      <c r="W11" s="56">
        <f t="shared" si="4"/>
        <v>0.11764705882352942</v>
      </c>
      <c r="X11" s="56">
        <f t="shared" si="4"/>
        <v>0.11764705882352942</v>
      </c>
      <c r="Y11" s="56">
        <f t="shared" si="4"/>
        <v>0.1111111111111111</v>
      </c>
      <c r="Z11" s="56">
        <f t="shared" si="4"/>
        <v>0.1111111111111111</v>
      </c>
      <c r="AA11" s="56">
        <f t="shared" si="4"/>
        <v>0.04</v>
      </c>
      <c r="AB11" s="56">
        <f t="shared" si="4"/>
        <v>0.04</v>
      </c>
      <c r="AC11" s="56">
        <f t="shared" si="4"/>
        <v>3.3333333333333333E-2</v>
      </c>
      <c r="AD11" s="56">
        <f t="shared" si="4"/>
        <v>3.3333333333333333E-2</v>
      </c>
      <c r="AE11" s="56">
        <f t="shared" si="4"/>
        <v>0.04</v>
      </c>
      <c r="AF11" s="56">
        <f t="shared" si="4"/>
        <v>0.04</v>
      </c>
      <c r="AG11" s="56">
        <f t="shared" si="4"/>
        <v>9.0909090909090912E-2</v>
      </c>
      <c r="AH11" s="56">
        <f t="shared" si="4"/>
        <v>9.0909090909090912E-2</v>
      </c>
      <c r="AI11" s="56">
        <f t="shared" si="4"/>
        <v>7.1428571428571438E-2</v>
      </c>
      <c r="AJ11" s="56">
        <f t="shared" si="4"/>
        <v>7.1428571428571438E-2</v>
      </c>
      <c r="AK11" s="56"/>
      <c r="AL11" s="56"/>
      <c r="AM11" s="56"/>
      <c r="AN11" s="56"/>
      <c r="AO11" s="56"/>
      <c r="AP11" s="5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"/>
  <sheetViews>
    <sheetView workbookViewId="0">
      <selection activeCell="P9" sqref="P9"/>
    </sheetView>
  </sheetViews>
  <sheetFormatPr defaultColWidth="9.140625" defaultRowHeight="12.75" x14ac:dyDescent="0.2"/>
  <cols>
    <col min="1" max="11" width="9.140625" style="6" customWidth="1"/>
    <col min="12" max="12" width="39.5703125" style="6" customWidth="1"/>
    <col min="13" max="13" width="9.140625" style="6" customWidth="1"/>
    <col min="14" max="16384" width="9.140625" style="6"/>
  </cols>
  <sheetData>
    <row r="1" spans="1:14" ht="15" customHeight="1" x14ac:dyDescent="0.25">
      <c r="A1" s="6">
        <v>1</v>
      </c>
      <c r="B1" s="6" t="s">
        <v>87</v>
      </c>
      <c r="J1" s="20"/>
      <c r="K1" s="21">
        <v>1</v>
      </c>
      <c r="L1" t="s">
        <v>88</v>
      </c>
      <c r="M1" s="76">
        <f>profitability!AJ10</f>
        <v>0.2</v>
      </c>
      <c r="N1" t="s">
        <v>48</v>
      </c>
    </row>
    <row r="2" spans="1:14" ht="15" customHeight="1" x14ac:dyDescent="0.25">
      <c r="A2" s="6">
        <f t="shared" ref="A2:A9" si="0">A1+1</f>
        <v>2</v>
      </c>
      <c r="B2" s="6" t="s">
        <v>89</v>
      </c>
      <c r="J2" s="20"/>
      <c r="K2" s="21">
        <v>1</v>
      </c>
      <c r="L2" t="s">
        <v>90</v>
      </c>
      <c r="M2"/>
      <c r="N2"/>
    </row>
    <row r="3" spans="1:14" ht="15" customHeight="1" x14ac:dyDescent="0.25">
      <c r="A3" s="6">
        <f t="shared" si="0"/>
        <v>3</v>
      </c>
      <c r="B3" s="6" t="s">
        <v>91</v>
      </c>
      <c r="J3" s="20"/>
      <c r="K3" s="64">
        <v>0</v>
      </c>
      <c r="L3" t="s">
        <v>92</v>
      </c>
      <c r="M3" s="76" t="s">
        <v>93</v>
      </c>
      <c r="N3" t="s">
        <v>94</v>
      </c>
    </row>
    <row r="4" spans="1:14" ht="15" customHeight="1" x14ac:dyDescent="0.25">
      <c r="A4" s="6">
        <f t="shared" si="0"/>
        <v>4</v>
      </c>
      <c r="B4" s="6" t="s">
        <v>95</v>
      </c>
      <c r="J4" s="20"/>
      <c r="K4" s="21">
        <v>1</v>
      </c>
      <c r="L4" t="s">
        <v>96</v>
      </c>
      <c r="M4"/>
      <c r="N4"/>
    </row>
    <row r="5" spans="1:14" ht="15" customHeight="1" x14ac:dyDescent="0.25">
      <c r="A5" s="6">
        <f t="shared" si="0"/>
        <v>5</v>
      </c>
      <c r="B5" s="6" t="s">
        <v>97</v>
      </c>
      <c r="J5" s="20"/>
      <c r="K5" s="21">
        <v>1</v>
      </c>
      <c r="L5" t="s">
        <v>98</v>
      </c>
      <c r="M5" s="76" t="s">
        <v>99</v>
      </c>
      <c r="N5" t="s">
        <v>100</v>
      </c>
    </row>
    <row r="6" spans="1:14" ht="15" customHeight="1" x14ac:dyDescent="0.25">
      <c r="A6" s="6">
        <f t="shared" si="0"/>
        <v>6</v>
      </c>
      <c r="B6" s="6" t="s">
        <v>101</v>
      </c>
      <c r="J6" s="20"/>
      <c r="K6" s="21">
        <v>1</v>
      </c>
      <c r="L6" t="s">
        <v>102</v>
      </c>
      <c r="M6" s="76" t="s">
        <v>103</v>
      </c>
      <c r="N6" t="s">
        <v>100</v>
      </c>
    </row>
    <row r="7" spans="1:14" ht="15" customHeight="1" x14ac:dyDescent="0.25">
      <c r="A7" s="6">
        <f t="shared" si="0"/>
        <v>7</v>
      </c>
      <c r="B7" s="6" t="s">
        <v>104</v>
      </c>
      <c r="J7" s="20"/>
      <c r="K7" s="21">
        <v>1</v>
      </c>
      <c r="L7" t="s">
        <v>105</v>
      </c>
      <c r="M7" s="76" t="s">
        <v>106</v>
      </c>
      <c r="N7" t="s">
        <v>100</v>
      </c>
    </row>
    <row r="8" spans="1:14" ht="15" customHeight="1" x14ac:dyDescent="0.25">
      <c r="A8" s="6">
        <f t="shared" si="0"/>
        <v>8</v>
      </c>
      <c r="B8" s="6" t="s">
        <v>107</v>
      </c>
      <c r="J8" s="20"/>
      <c r="K8" s="21">
        <v>0</v>
      </c>
      <c r="L8" t="s">
        <v>108</v>
      </c>
      <c r="M8" s="76" t="s">
        <v>109</v>
      </c>
      <c r="N8" t="s">
        <v>94</v>
      </c>
    </row>
    <row r="9" spans="1:14" ht="15" customHeight="1" x14ac:dyDescent="0.25">
      <c r="A9" s="6">
        <f t="shared" si="0"/>
        <v>9</v>
      </c>
      <c r="B9" s="6" t="s">
        <v>110</v>
      </c>
      <c r="J9" s="20"/>
      <c r="K9" s="21">
        <v>0</v>
      </c>
      <c r="L9" t="s">
        <v>111</v>
      </c>
      <c r="M9" s="76" t="s">
        <v>112</v>
      </c>
      <c r="N9" t="s">
        <v>94</v>
      </c>
    </row>
    <row r="10" spans="1:14" ht="15" customHeight="1" x14ac:dyDescent="0.2">
      <c r="A10" s="17" t="s">
        <v>113</v>
      </c>
      <c r="B10" s="17"/>
      <c r="C10" s="17"/>
      <c r="D10" s="17"/>
      <c r="E10" s="17"/>
      <c r="F10" s="17"/>
      <c r="G10" s="17"/>
      <c r="H10" s="17"/>
      <c r="I10" s="17"/>
      <c r="J10" s="18"/>
      <c r="K10" s="27">
        <f>SUM(K1:K9)</f>
        <v>6</v>
      </c>
    </row>
  </sheetData>
  <hyperlinks>
    <hyperlink ref="M1" location="profitability!AJ10" display="profitability!AJ10" xr:uid="{00000000-0004-0000-0300-000000000000}"/>
    <hyperlink ref="M3" location="ro!AJ21" display="ro!AI21; ro!AJ21" xr:uid="{00000000-0004-0000-0300-000001000000}"/>
    <hyperlink ref="M5" location="ncav!AK52" display="ncav!AI52; ncav!AK52" xr:uid="{00000000-0004-0000-0300-000002000000}"/>
    <hyperlink ref="M6" location="ncav!AK26" display="ncav!AI26; ncav!AK26" xr:uid="{00000000-0004-0000-0300-000003000000}"/>
    <hyperlink ref="M7" location="ncav!AK20" display="ncav!AI20; ncav!AK20" xr:uid="{00000000-0004-0000-0300-000004000000}"/>
    <hyperlink ref="M8" location="ro!AJ33" display="ro!AI33; ro!AJ33" xr:uid="{00000000-0004-0000-0300-000005000000}"/>
    <hyperlink ref="M9" location="profitability!AJ7" display="profitability!AI7; profitability!AJ7" xr:uid="{00000000-0004-0000-0300-000006000000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23"/>
  <sheetViews>
    <sheetView tabSelected="1" workbookViewId="0">
      <selection activeCell="H22" sqref="H22"/>
    </sheetView>
  </sheetViews>
  <sheetFormatPr defaultRowHeight="15" x14ac:dyDescent="0.25"/>
  <cols>
    <col min="1" max="5" width="9.7109375" customWidth="1"/>
  </cols>
  <sheetData>
    <row r="1" spans="1:43" x14ac:dyDescent="0.25">
      <c r="A1" s="4" t="s">
        <v>114</v>
      </c>
    </row>
    <row r="2" spans="1:43" x14ac:dyDescent="0.25">
      <c r="A2" t="s">
        <v>115</v>
      </c>
      <c r="F2" s="19"/>
      <c r="G2" s="1"/>
      <c r="H2" s="53">
        <v>1</v>
      </c>
      <c r="I2" t="s">
        <v>116</v>
      </c>
    </row>
    <row r="3" spans="1:43" x14ac:dyDescent="0.25">
      <c r="A3" t="s">
        <v>117</v>
      </c>
      <c r="F3" s="19"/>
      <c r="G3" s="1"/>
      <c r="H3" s="53">
        <v>1</v>
      </c>
      <c r="I3" t="s">
        <v>118</v>
      </c>
      <c r="J3">
        <f>ncav!AK34</f>
        <v>0.18468468468468469</v>
      </c>
      <c r="K3" t="s">
        <v>48</v>
      </c>
    </row>
    <row r="4" spans="1:43" x14ac:dyDescent="0.25">
      <c r="A4" t="s">
        <v>119</v>
      </c>
      <c r="F4" s="19"/>
      <c r="G4" s="1"/>
      <c r="H4" s="37">
        <v>1</v>
      </c>
      <c r="I4" t="s">
        <v>120</v>
      </c>
      <c r="J4">
        <f>ncav!AK53</f>
        <v>4.1237113402061862E-2</v>
      </c>
      <c r="K4" t="s">
        <v>48</v>
      </c>
    </row>
    <row r="5" spans="1:43" x14ac:dyDescent="0.25">
      <c r="A5" t="s">
        <v>121</v>
      </c>
      <c r="F5" s="19"/>
      <c r="G5" s="1"/>
      <c r="H5" s="37">
        <v>1</v>
      </c>
      <c r="I5" t="s">
        <v>122</v>
      </c>
      <c r="J5">
        <f>profitability!E11</f>
        <v>0.28571428571428575</v>
      </c>
      <c r="K5" t="s">
        <v>17</v>
      </c>
    </row>
    <row r="6" spans="1:43" x14ac:dyDescent="0.25">
      <c r="A6" t="s">
        <v>123</v>
      </c>
      <c r="F6" s="19"/>
      <c r="G6" s="1"/>
      <c r="H6" s="37">
        <v>1</v>
      </c>
      <c r="I6" t="s">
        <v>124</v>
      </c>
    </row>
    <row r="7" spans="1:43" x14ac:dyDescent="0.25">
      <c r="A7" t="s">
        <v>125</v>
      </c>
      <c r="F7" s="19"/>
      <c r="G7" s="1"/>
      <c r="H7" s="37">
        <v>1</v>
      </c>
      <c r="I7" t="s">
        <v>126</v>
      </c>
    </row>
    <row r="8" spans="1:43" x14ac:dyDescent="0.25">
      <c r="A8" t="s">
        <v>127</v>
      </c>
      <c r="F8" s="19"/>
      <c r="G8" s="1"/>
      <c r="H8" s="37">
        <v>1</v>
      </c>
      <c r="I8" t="s">
        <v>128</v>
      </c>
      <c r="J8" t="s">
        <v>106</v>
      </c>
      <c r="K8" t="s">
        <v>100</v>
      </c>
    </row>
    <row r="9" spans="1:43" x14ac:dyDescent="0.25">
      <c r="A9" t="s">
        <v>129</v>
      </c>
      <c r="F9" s="19"/>
      <c r="G9" s="1"/>
      <c r="H9" s="37">
        <v>1</v>
      </c>
      <c r="I9" t="s">
        <v>130</v>
      </c>
      <c r="J9">
        <f>ncav!AK20</f>
        <v>44.4</v>
      </c>
      <c r="K9" t="s">
        <v>48</v>
      </c>
    </row>
    <row r="10" spans="1:43" x14ac:dyDescent="0.25">
      <c r="A10" t="s">
        <v>131</v>
      </c>
      <c r="F10" s="19"/>
      <c r="G10" s="1"/>
      <c r="H10" s="37">
        <v>1</v>
      </c>
      <c r="I10" t="s">
        <v>132</v>
      </c>
      <c r="J10" t="s">
        <v>133</v>
      </c>
      <c r="K10" t="s">
        <v>100</v>
      </c>
    </row>
    <row r="11" spans="1:43" x14ac:dyDescent="0.25">
      <c r="A11" s="2" t="s">
        <v>134</v>
      </c>
      <c r="B11" s="2"/>
      <c r="C11" s="2"/>
      <c r="D11" s="2"/>
      <c r="E11" s="2"/>
      <c r="F11" s="2"/>
      <c r="G11" s="3"/>
      <c r="H11" s="38">
        <f t="shared" ref="H11:AQ11" si="0">SUM(H2:H10)</f>
        <v>9</v>
      </c>
      <c r="I11">
        <f t="shared" si="0"/>
        <v>0</v>
      </c>
      <c r="J11">
        <f t="shared" si="0"/>
        <v>44.911636083801028</v>
      </c>
      <c r="K11">
        <f t="shared" si="0"/>
        <v>0</v>
      </c>
      <c r="L11">
        <f t="shared" si="0"/>
        <v>0</v>
      </c>
      <c r="M11">
        <f t="shared" si="0"/>
        <v>0</v>
      </c>
      <c r="N11">
        <f t="shared" si="0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  <c r="S11">
        <f t="shared" si="0"/>
        <v>0</v>
      </c>
      <c r="T11">
        <f t="shared" si="0"/>
        <v>0</v>
      </c>
      <c r="U11">
        <f t="shared" si="0"/>
        <v>0</v>
      </c>
      <c r="V11">
        <f t="shared" si="0"/>
        <v>0</v>
      </c>
      <c r="W11">
        <f t="shared" si="0"/>
        <v>0</v>
      </c>
      <c r="X11">
        <f t="shared" si="0"/>
        <v>0</v>
      </c>
      <c r="Y11">
        <f t="shared" si="0"/>
        <v>0</v>
      </c>
      <c r="Z11">
        <f t="shared" si="0"/>
        <v>0</v>
      </c>
      <c r="AA11">
        <f t="shared" si="0"/>
        <v>0</v>
      </c>
      <c r="AB11">
        <f t="shared" si="0"/>
        <v>0</v>
      </c>
      <c r="AC11">
        <f t="shared" si="0"/>
        <v>0</v>
      </c>
      <c r="AD11">
        <f t="shared" si="0"/>
        <v>0</v>
      </c>
      <c r="AE11">
        <f t="shared" si="0"/>
        <v>0</v>
      </c>
      <c r="AF11">
        <f t="shared" si="0"/>
        <v>0</v>
      </c>
      <c r="AG11">
        <f t="shared" si="0"/>
        <v>0</v>
      </c>
      <c r="AH11">
        <f t="shared" si="0"/>
        <v>0</v>
      </c>
      <c r="AI11">
        <f t="shared" si="0"/>
        <v>0</v>
      </c>
      <c r="AJ11">
        <f t="shared" si="0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</row>
    <row r="13" spans="1:43" x14ac:dyDescent="0.25">
      <c r="A13" s="4" t="s">
        <v>135</v>
      </c>
    </row>
    <row r="14" spans="1:43" x14ac:dyDescent="0.25">
      <c r="A14" t="s">
        <v>136</v>
      </c>
      <c r="F14" s="19"/>
      <c r="G14" s="24"/>
      <c r="H14" s="37">
        <v>1</v>
      </c>
      <c r="I14" t="s">
        <v>137</v>
      </c>
      <c r="J14">
        <f>ncav!AK26</f>
        <v>3.4054054054054053</v>
      </c>
      <c r="K14" t="s">
        <v>48</v>
      </c>
    </row>
    <row r="15" spans="1:43" x14ac:dyDescent="0.25">
      <c r="A15" t="s">
        <v>138</v>
      </c>
      <c r="F15" s="19"/>
      <c r="G15" s="24"/>
      <c r="H15">
        <v>1</v>
      </c>
      <c r="I15" t="s">
        <v>139</v>
      </c>
    </row>
    <row r="16" spans="1:43" x14ac:dyDescent="0.25">
      <c r="A16" t="s">
        <v>140</v>
      </c>
      <c r="F16" s="19"/>
      <c r="G16" s="24"/>
      <c r="H16">
        <v>0</v>
      </c>
      <c r="I16" t="s">
        <v>141</v>
      </c>
      <c r="J16" t="s">
        <v>106</v>
      </c>
      <c r="K16" t="s">
        <v>100</v>
      </c>
    </row>
    <row r="17" spans="1:11" x14ac:dyDescent="0.25">
      <c r="A17" t="s">
        <v>142</v>
      </c>
      <c r="F17" s="19"/>
      <c r="G17" s="24"/>
      <c r="H17">
        <v>0</v>
      </c>
      <c r="I17" t="s">
        <v>143</v>
      </c>
    </row>
    <row r="18" spans="1:11" x14ac:dyDescent="0.25">
      <c r="A18" t="s">
        <v>144</v>
      </c>
      <c r="F18" s="19"/>
      <c r="G18" s="24"/>
      <c r="H18">
        <v>1</v>
      </c>
      <c r="I18" t="s">
        <v>145</v>
      </c>
    </row>
    <row r="19" spans="1:11" x14ac:dyDescent="0.25">
      <c r="A19" t="s">
        <v>146</v>
      </c>
      <c r="G19" s="24"/>
      <c r="H19">
        <v>0</v>
      </c>
      <c r="I19" t="s">
        <v>147</v>
      </c>
    </row>
    <row r="20" spans="1:11" x14ac:dyDescent="0.25">
      <c r="A20" t="s">
        <v>148</v>
      </c>
      <c r="F20" s="19"/>
      <c r="G20" s="24"/>
      <c r="H20">
        <v>1</v>
      </c>
      <c r="I20" t="s">
        <v>149</v>
      </c>
      <c r="J20" t="s">
        <v>133</v>
      </c>
      <c r="K20" t="s">
        <v>100</v>
      </c>
    </row>
    <row r="21" spans="1:11" x14ac:dyDescent="0.25">
      <c r="A21" t="s">
        <v>150</v>
      </c>
      <c r="G21" s="24"/>
      <c r="H21" s="37">
        <v>1</v>
      </c>
      <c r="I21" t="s">
        <v>126</v>
      </c>
    </row>
    <row r="22" spans="1:11" x14ac:dyDescent="0.25">
      <c r="A22" t="s">
        <v>151</v>
      </c>
      <c r="F22" s="19"/>
      <c r="G22" s="24"/>
      <c r="H22">
        <v>0</v>
      </c>
      <c r="I22" t="s">
        <v>152</v>
      </c>
    </row>
    <row r="23" spans="1:11" x14ac:dyDescent="0.25">
      <c r="A23" s="2" t="s">
        <v>134</v>
      </c>
      <c r="B23" s="2"/>
      <c r="C23" s="2"/>
      <c r="D23" s="2"/>
      <c r="E23" s="2"/>
      <c r="F23" s="2"/>
      <c r="G23" s="3"/>
      <c r="H23" s="3">
        <f>SUM(H14:H22)</f>
        <v>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33"/>
  <sheetViews>
    <sheetView zoomScale="70" zoomScaleNormal="70" workbookViewId="0">
      <pane xSplit="1" ySplit="1" topLeftCell="U14" activePane="bottomRight" state="frozen"/>
      <selection pane="topRight" activeCell="B1" sqref="B1"/>
      <selection pane="bottomLeft" activeCell="A2" sqref="A2"/>
      <selection pane="bottomRight" activeCell="AI33" sqref="AI33"/>
    </sheetView>
  </sheetViews>
  <sheetFormatPr defaultColWidth="9.140625" defaultRowHeight="12.75" x14ac:dyDescent="0.2"/>
  <cols>
    <col min="1" max="2" width="12.5703125" style="6" customWidth="1"/>
    <col min="3" max="42" width="12.7109375" style="6" customWidth="1"/>
    <col min="43" max="49" width="9.140625" style="6" customWidth="1"/>
    <col min="50" max="16384" width="9.140625" style="6"/>
  </cols>
  <sheetData>
    <row r="1" spans="1:42" x14ac:dyDescent="0.2">
      <c r="C1" s="40" t="s">
        <v>15</v>
      </c>
      <c r="D1" s="40" t="s">
        <v>16</v>
      </c>
      <c r="E1" s="40" t="s">
        <v>17</v>
      </c>
      <c r="F1" s="40" t="s">
        <v>18</v>
      </c>
      <c r="G1" s="40" t="s">
        <v>19</v>
      </c>
      <c r="H1" s="40" t="s">
        <v>20</v>
      </c>
      <c r="I1" s="40" t="s">
        <v>21</v>
      </c>
      <c r="J1" s="40" t="s">
        <v>22</v>
      </c>
      <c r="K1" s="40" t="s">
        <v>23</v>
      </c>
      <c r="L1" s="40" t="s">
        <v>24</v>
      </c>
      <c r="M1" s="40" t="s">
        <v>25</v>
      </c>
      <c r="N1" s="40" t="s">
        <v>26</v>
      </c>
      <c r="O1" s="40" t="s">
        <v>27</v>
      </c>
      <c r="P1" s="40" t="s">
        <v>28</v>
      </c>
      <c r="Q1" s="40" t="s">
        <v>29</v>
      </c>
      <c r="R1" s="40" t="s">
        <v>30</v>
      </c>
      <c r="S1" s="40" t="s">
        <v>31</v>
      </c>
      <c r="T1" s="40" t="s">
        <v>32</v>
      </c>
      <c r="U1" s="40" t="s">
        <v>33</v>
      </c>
      <c r="V1" s="59" t="s">
        <v>34</v>
      </c>
      <c r="W1" s="59" t="s">
        <v>35</v>
      </c>
      <c r="X1" s="59" t="s">
        <v>36</v>
      </c>
      <c r="Y1" s="59" t="s">
        <v>37</v>
      </c>
      <c r="Z1" s="59" t="s">
        <v>38</v>
      </c>
      <c r="AA1" s="59" t="s">
        <v>39</v>
      </c>
      <c r="AB1" s="59" t="s">
        <v>40</v>
      </c>
      <c r="AC1" s="59" t="s">
        <v>41</v>
      </c>
      <c r="AD1" s="59" t="s">
        <v>42</v>
      </c>
      <c r="AE1" s="59" t="s">
        <v>43</v>
      </c>
      <c r="AF1" s="59" t="s">
        <v>44</v>
      </c>
      <c r="AG1" s="59" t="s">
        <v>45</v>
      </c>
      <c r="AH1" s="59" t="s">
        <v>46</v>
      </c>
      <c r="AI1" s="59" t="s">
        <v>47</v>
      </c>
      <c r="AJ1" s="59" t="s">
        <v>48</v>
      </c>
      <c r="AK1" s="59"/>
      <c r="AL1" s="59"/>
      <c r="AM1" s="59"/>
      <c r="AN1" s="59"/>
      <c r="AO1" s="59"/>
      <c r="AP1" s="59"/>
    </row>
    <row r="2" spans="1:42" x14ac:dyDescent="0.2">
      <c r="A2" s="6" t="s">
        <v>54</v>
      </c>
      <c r="C2" s="7">
        <f>_xlfn.NUMBERVALUE(tsh_bs!D27)</f>
        <v>0</v>
      </c>
      <c r="D2" s="7">
        <f>_xlfn.NUMBERVALUE(tsh_bs!E27)</f>
        <v>0</v>
      </c>
      <c r="E2" s="7">
        <f>_xlfn.NUMBERVALUE(tsh_bs!F27)</f>
        <v>4.9000000000000004</v>
      </c>
      <c r="F2" s="7">
        <f>_xlfn.NUMBERVALUE(tsh_bs!G27)</f>
        <v>4.9000000000000004</v>
      </c>
      <c r="G2" s="7">
        <f>_xlfn.NUMBERVALUE(tsh_bs!H27)</f>
        <v>4.9000000000000004</v>
      </c>
      <c r="H2" s="7">
        <f>_xlfn.NUMBERVALUE(tsh_bs!I27)</f>
        <v>4.9000000000000004</v>
      </c>
      <c r="I2" s="7">
        <f>_xlfn.NUMBERVALUE(tsh_bs!J27)</f>
        <v>5.9</v>
      </c>
      <c r="J2" s="7">
        <f>_xlfn.NUMBERVALUE(tsh_bs!K27)</f>
        <v>5.9</v>
      </c>
      <c r="K2" s="7">
        <f>_xlfn.NUMBERVALUE(tsh_bs!L27)</f>
        <v>11.9</v>
      </c>
      <c r="L2" s="7">
        <f>_xlfn.NUMBERVALUE(tsh_bs!M27)</f>
        <v>11.9</v>
      </c>
      <c r="M2" s="7">
        <f>_xlfn.NUMBERVALUE(tsh_bs!N27)</f>
        <v>12.9</v>
      </c>
      <c r="N2" s="7">
        <f>_xlfn.NUMBERVALUE(tsh_bs!O27)</f>
        <v>12.9</v>
      </c>
      <c r="O2" s="7">
        <f>_xlfn.NUMBERVALUE(tsh_bs!P27)</f>
        <v>11.8</v>
      </c>
      <c r="P2" s="7">
        <f>_xlfn.NUMBERVALUE(tsh_bs!Q27)</f>
        <v>11.8</v>
      </c>
      <c r="Q2" s="7">
        <f>_xlfn.NUMBERVALUE(tsh_bs!R27)</f>
        <v>10.199999999999999</v>
      </c>
      <c r="R2" s="7">
        <f>_xlfn.NUMBERVALUE(tsh_bs!S27)</f>
        <v>10.199999999999999</v>
      </c>
      <c r="S2" s="7">
        <f>_xlfn.NUMBERVALUE(tsh_bs!T27)</f>
        <v>12</v>
      </c>
      <c r="T2" s="7">
        <f>_xlfn.NUMBERVALUE(tsh_bs!U27)</f>
        <v>12</v>
      </c>
      <c r="U2" s="7">
        <f>_xlfn.NUMBERVALUE(tsh_bs!V27)</f>
        <v>11.5</v>
      </c>
      <c r="V2" s="7">
        <f>_xlfn.NUMBERVALUE(tsh_bs!W27)</f>
        <v>11.5</v>
      </c>
      <c r="W2" s="7">
        <f>_xlfn.NUMBERVALUE(tsh_bs!X27)</f>
        <v>11.5</v>
      </c>
      <c r="X2" s="7">
        <f>_xlfn.NUMBERVALUE(tsh_bs!Y27)</f>
        <v>11.5</v>
      </c>
      <c r="Y2" s="7">
        <f>_xlfn.NUMBERVALUE(tsh_bs!Z27)</f>
        <v>14.5</v>
      </c>
      <c r="Z2" s="7">
        <f>_xlfn.NUMBERVALUE(tsh_bs!AA27)</f>
        <v>14.5</v>
      </c>
      <c r="AA2" s="7">
        <f>_xlfn.NUMBERVALUE(tsh_bs!AB27)</f>
        <v>14.4</v>
      </c>
      <c r="AB2" s="7">
        <f>_xlfn.NUMBERVALUE(tsh_bs!AC27)</f>
        <v>14.4</v>
      </c>
      <c r="AC2" s="7">
        <f>_xlfn.NUMBERVALUE(tsh_bs!AD27)</f>
        <v>15.1</v>
      </c>
      <c r="AD2" s="7">
        <f>_xlfn.NUMBERVALUE(tsh_bs!AE27)</f>
        <v>15.1</v>
      </c>
      <c r="AE2" s="7">
        <f>_xlfn.NUMBERVALUE(tsh_bs!AF27)</f>
        <v>14.6</v>
      </c>
      <c r="AF2" s="7">
        <f>_xlfn.NUMBERVALUE(tsh_bs!AG27)</f>
        <v>14.6</v>
      </c>
      <c r="AG2" s="7">
        <f>_xlfn.NUMBERVALUE(tsh_bs!AH27)</f>
        <v>14.1</v>
      </c>
      <c r="AH2" s="7">
        <f>_xlfn.NUMBERVALUE(tsh_bs!AI27)</f>
        <v>14.1</v>
      </c>
      <c r="AI2" s="7">
        <f>_xlfn.NUMBERVALUE(tsh_bs!AJ27)</f>
        <v>14.1</v>
      </c>
      <c r="AJ2" s="7">
        <f>_xlfn.NUMBERVALUE(tsh_bs!AK27)</f>
        <v>14.1</v>
      </c>
      <c r="AK2" s="7"/>
      <c r="AL2" s="7"/>
      <c r="AM2" s="7"/>
      <c r="AN2" s="7"/>
      <c r="AO2" s="7"/>
      <c r="AP2" s="7"/>
    </row>
    <row r="3" spans="1:42" x14ac:dyDescent="0.2">
      <c r="A3" s="6" t="s">
        <v>153</v>
      </c>
      <c r="C3" s="7"/>
      <c r="D3" s="8">
        <f t="shared" ref="D3:V3" si="0">AVERAGE(C2:D2)</f>
        <v>0</v>
      </c>
      <c r="E3" s="8">
        <f t="shared" si="0"/>
        <v>2.4500000000000002</v>
      </c>
      <c r="F3" s="8">
        <f t="shared" si="0"/>
        <v>4.9000000000000004</v>
      </c>
      <c r="G3" s="8">
        <f t="shared" si="0"/>
        <v>4.9000000000000004</v>
      </c>
      <c r="H3" s="8">
        <f t="shared" si="0"/>
        <v>4.9000000000000004</v>
      </c>
      <c r="I3" s="8">
        <f t="shared" si="0"/>
        <v>5.4</v>
      </c>
      <c r="J3" s="8">
        <f t="shared" si="0"/>
        <v>5.9</v>
      </c>
      <c r="K3" s="8">
        <f t="shared" si="0"/>
        <v>8.9</v>
      </c>
      <c r="L3" s="8">
        <f t="shared" si="0"/>
        <v>11.9</v>
      </c>
      <c r="M3" s="8">
        <f t="shared" si="0"/>
        <v>12.4</v>
      </c>
      <c r="N3" s="8">
        <f t="shared" si="0"/>
        <v>12.9</v>
      </c>
      <c r="O3" s="8">
        <f t="shared" si="0"/>
        <v>12.350000000000001</v>
      </c>
      <c r="P3" s="8">
        <f t="shared" si="0"/>
        <v>11.8</v>
      </c>
      <c r="Q3" s="8">
        <f t="shared" si="0"/>
        <v>11</v>
      </c>
      <c r="R3" s="8">
        <f t="shared" si="0"/>
        <v>10.199999999999999</v>
      </c>
      <c r="S3" s="8">
        <f t="shared" si="0"/>
        <v>11.1</v>
      </c>
      <c r="T3" s="8">
        <f t="shared" si="0"/>
        <v>12</v>
      </c>
      <c r="U3" s="8">
        <f t="shared" si="0"/>
        <v>11.75</v>
      </c>
      <c r="V3" s="60">
        <f t="shared" si="0"/>
        <v>11.5</v>
      </c>
      <c r="W3" s="60">
        <f>AVERAGE(U2:W2)</f>
        <v>11.5</v>
      </c>
      <c r="X3" s="60">
        <f>AVERAGE(U2:X2)</f>
        <v>11.5</v>
      </c>
      <c r="Y3" s="60">
        <f>AVERAGE(U2:Y2)</f>
        <v>12.1</v>
      </c>
      <c r="Z3" s="60">
        <f>AVERAGE(U2:Z2)</f>
        <v>12.5</v>
      </c>
      <c r="AA3" s="60">
        <f>AVERAGE(U2:AA2)</f>
        <v>12.771428571428572</v>
      </c>
      <c r="AB3" s="60">
        <f>AVERAGE(U2:AB2)</f>
        <v>12.975000000000001</v>
      </c>
      <c r="AC3" s="60">
        <f>AVERAGE(U2:AC2)</f>
        <v>13.211111111111112</v>
      </c>
      <c r="AD3" s="60">
        <f>AVERAGE(U2:AD2)</f>
        <v>13.4</v>
      </c>
      <c r="AE3" s="60">
        <f>AVERAGE(U2:AE2)</f>
        <v>13.509090909090908</v>
      </c>
      <c r="AF3" s="60">
        <f>AVERAGE(U2:AF2)</f>
        <v>13.6</v>
      </c>
      <c r="AG3" s="60">
        <f>AVERAGE(U2:AG2)</f>
        <v>13.638461538461538</v>
      </c>
      <c r="AH3" s="60">
        <f>AVERAGE(U2:AH2)</f>
        <v>13.671428571428569</v>
      </c>
      <c r="AI3" s="60">
        <f>AVERAGE(U2:AI2)</f>
        <v>13.699999999999998</v>
      </c>
      <c r="AJ3" s="60">
        <f>AVERAGE(U2:AJ2)</f>
        <v>13.724999999999998</v>
      </c>
      <c r="AK3" s="60"/>
      <c r="AL3" s="60"/>
      <c r="AM3" s="60"/>
      <c r="AN3" s="60"/>
      <c r="AO3" s="60"/>
      <c r="AP3" s="60"/>
    </row>
    <row r="4" spans="1:42" x14ac:dyDescent="0.2"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</row>
    <row r="5" spans="1:42" x14ac:dyDescent="0.2">
      <c r="A5" s="6" t="s">
        <v>154</v>
      </c>
      <c r="C5" s="7">
        <f>_xlfn.NUMBERVALUE(tsh_bs!D51)</f>
        <v>0.7</v>
      </c>
      <c r="D5" s="7">
        <f>_xlfn.NUMBERVALUE(tsh_bs!E51)</f>
        <v>0</v>
      </c>
      <c r="E5" s="7">
        <f>_xlfn.NUMBERVALUE(tsh_bs!F51)</f>
        <v>1.8</v>
      </c>
      <c r="F5" s="7">
        <f>_xlfn.NUMBERVALUE(tsh_bs!G51)</f>
        <v>1.8</v>
      </c>
      <c r="G5" s="7">
        <f>_xlfn.NUMBERVALUE(tsh_bs!H51)</f>
        <v>2.4</v>
      </c>
      <c r="H5" s="7">
        <f>_xlfn.NUMBERVALUE(tsh_bs!I51)</f>
        <v>2.4</v>
      </c>
      <c r="I5" s="7">
        <f>_xlfn.NUMBERVALUE(tsh_bs!J51)</f>
        <v>3.6</v>
      </c>
      <c r="J5" s="7">
        <f>_xlfn.NUMBERVALUE(tsh_bs!K51)</f>
        <v>3.6</v>
      </c>
      <c r="K5" s="7">
        <f>_xlfn.NUMBERVALUE(tsh_bs!L51)</f>
        <v>8.5</v>
      </c>
      <c r="L5" s="7">
        <f>_xlfn.NUMBERVALUE(tsh_bs!M51)</f>
        <v>8.5</v>
      </c>
      <c r="M5" s="7">
        <f>_xlfn.NUMBERVALUE(tsh_bs!N51)</f>
        <v>8.8000000000000007</v>
      </c>
      <c r="N5" s="7">
        <f>_xlfn.NUMBERVALUE(tsh_bs!O51)</f>
        <v>8.8000000000000007</v>
      </c>
      <c r="O5" s="7">
        <f>_xlfn.NUMBERVALUE(tsh_bs!P51)</f>
        <v>8.1999999999999993</v>
      </c>
      <c r="P5" s="7">
        <f>_xlfn.NUMBERVALUE(tsh_bs!Q51)</f>
        <v>8.1999999999999993</v>
      </c>
      <c r="Q5" s="7">
        <f>_xlfn.NUMBERVALUE(tsh_bs!R51)</f>
        <v>6.8</v>
      </c>
      <c r="R5" s="7">
        <f>_xlfn.NUMBERVALUE(tsh_bs!S51)</f>
        <v>6.8</v>
      </c>
      <c r="S5" s="7">
        <f>_xlfn.NUMBERVALUE(tsh_bs!T51)</f>
        <v>7</v>
      </c>
      <c r="T5" s="7">
        <f>_xlfn.NUMBERVALUE(tsh_bs!U51)</f>
        <v>7</v>
      </c>
      <c r="U5" s="7">
        <f>_xlfn.NUMBERVALUE(tsh_bs!V51)</f>
        <v>6.5</v>
      </c>
      <c r="V5" s="7">
        <f>_xlfn.NUMBERVALUE(tsh_bs!W51)</f>
        <v>6.5</v>
      </c>
      <c r="W5" s="7">
        <f>_xlfn.NUMBERVALUE(tsh_bs!X51)</f>
        <v>6.8</v>
      </c>
      <c r="X5" s="7">
        <f>_xlfn.NUMBERVALUE(tsh_bs!Y51)</f>
        <v>6.8</v>
      </c>
      <c r="Y5" s="7">
        <f>_xlfn.NUMBERVALUE(tsh_bs!Z51)</f>
        <v>7.3</v>
      </c>
      <c r="Z5" s="7">
        <f>_xlfn.NUMBERVALUE(tsh_bs!AA51)</f>
        <v>7.3</v>
      </c>
      <c r="AA5" s="7">
        <f>_xlfn.NUMBERVALUE(tsh_bs!AB51)</f>
        <v>7.6</v>
      </c>
      <c r="AB5" s="7">
        <f>_xlfn.NUMBERVALUE(tsh_bs!AC51)</f>
        <v>7.6</v>
      </c>
      <c r="AC5" s="7">
        <f>_xlfn.NUMBERVALUE(tsh_bs!AD51)</f>
        <v>7.7</v>
      </c>
      <c r="AD5" s="7">
        <f>_xlfn.NUMBERVALUE(tsh_bs!AE51)</f>
        <v>7.7</v>
      </c>
      <c r="AE5" s="7">
        <f>_xlfn.NUMBERVALUE(tsh_bs!AF51)</f>
        <v>8</v>
      </c>
      <c r="AF5" s="7">
        <f>_xlfn.NUMBERVALUE(tsh_bs!AG51)</f>
        <v>8</v>
      </c>
      <c r="AG5" s="7">
        <f>_xlfn.NUMBERVALUE(tsh_bs!AH51)</f>
        <v>8.6</v>
      </c>
      <c r="AH5" s="7">
        <f>_xlfn.NUMBERVALUE(tsh_bs!AI51)</f>
        <v>8.6</v>
      </c>
      <c r="AI5" s="7">
        <f>_xlfn.NUMBERVALUE(tsh_bs!AJ51)</f>
        <v>9.6999999999999993</v>
      </c>
      <c r="AJ5" s="7">
        <f>_xlfn.NUMBERVALUE(tsh_bs!AK51)</f>
        <v>9.6999999999999993</v>
      </c>
      <c r="AK5" s="7"/>
      <c r="AL5" s="7"/>
      <c r="AM5" s="7"/>
      <c r="AN5" s="7"/>
      <c r="AO5" s="7"/>
      <c r="AP5" s="7"/>
    </row>
    <row r="6" spans="1:42" x14ac:dyDescent="0.2">
      <c r="A6" s="6" t="s">
        <v>153</v>
      </c>
      <c r="C6" s="7"/>
      <c r="D6" s="8">
        <f t="shared" ref="D6:V6" si="1">AVERAGE(C5:D5)</f>
        <v>0.35</v>
      </c>
      <c r="E6" s="8">
        <f t="shared" si="1"/>
        <v>0.9</v>
      </c>
      <c r="F6" s="8">
        <f t="shared" si="1"/>
        <v>1.8</v>
      </c>
      <c r="G6" s="8">
        <f t="shared" si="1"/>
        <v>2.1</v>
      </c>
      <c r="H6" s="8">
        <f t="shared" si="1"/>
        <v>2.4</v>
      </c>
      <c r="I6" s="8">
        <f t="shared" si="1"/>
        <v>3</v>
      </c>
      <c r="J6" s="8">
        <f t="shared" si="1"/>
        <v>3.6</v>
      </c>
      <c r="K6" s="8">
        <f t="shared" si="1"/>
        <v>6.05</v>
      </c>
      <c r="L6" s="8">
        <f t="shared" si="1"/>
        <v>8.5</v>
      </c>
      <c r="M6" s="8">
        <f t="shared" si="1"/>
        <v>8.65</v>
      </c>
      <c r="N6" s="8">
        <f t="shared" si="1"/>
        <v>8.8000000000000007</v>
      </c>
      <c r="O6" s="8">
        <f t="shared" si="1"/>
        <v>8.5</v>
      </c>
      <c r="P6" s="8">
        <f t="shared" si="1"/>
        <v>8.1999999999999993</v>
      </c>
      <c r="Q6" s="8">
        <f t="shared" si="1"/>
        <v>7.5</v>
      </c>
      <c r="R6" s="8">
        <f t="shared" si="1"/>
        <v>6.8</v>
      </c>
      <c r="S6" s="8">
        <f t="shared" si="1"/>
        <v>6.9</v>
      </c>
      <c r="T6" s="8">
        <f t="shared" si="1"/>
        <v>7</v>
      </c>
      <c r="U6" s="8">
        <f t="shared" si="1"/>
        <v>6.75</v>
      </c>
      <c r="V6" s="60">
        <f t="shared" si="1"/>
        <v>6.5</v>
      </c>
      <c r="W6" s="60">
        <f>AVERAGE(U5:W5)</f>
        <v>6.6000000000000005</v>
      </c>
      <c r="X6" s="60">
        <f>AVERAGE(U5:X5)</f>
        <v>6.65</v>
      </c>
      <c r="Y6" s="60">
        <f>AVERAGE(U5:Y5)</f>
        <v>6.7799999999999994</v>
      </c>
      <c r="Z6" s="60">
        <f>AVERAGE(U5:Z5)</f>
        <v>6.8666666666666663</v>
      </c>
      <c r="AA6" s="60">
        <f>AVERAGE(U5:AA5)</f>
        <v>6.9714285714285706</v>
      </c>
      <c r="AB6" s="60">
        <f>AVERAGE(U5:AB5)</f>
        <v>7.05</v>
      </c>
      <c r="AC6" s="60">
        <f>AVERAGE(U5:AC5)</f>
        <v>7.1222222222222218</v>
      </c>
      <c r="AD6" s="60">
        <f>AVERAGE(U5:AD5)</f>
        <v>7.18</v>
      </c>
      <c r="AE6" s="60">
        <f>AVERAGE(U5:AE5)</f>
        <v>7.254545454545454</v>
      </c>
      <c r="AF6" s="60">
        <f>AVERAGE(U5:AF5)</f>
        <v>7.3166666666666664</v>
      </c>
      <c r="AG6" s="60">
        <f>AVERAGE(U5:AG5)</f>
        <v>7.4153846153846148</v>
      </c>
      <c r="AH6" s="60">
        <f>AVERAGE(U5:AH5)</f>
        <v>7.4999999999999991</v>
      </c>
      <c r="AI6" s="60">
        <f>AVERAGE(U5:AI5)</f>
        <v>7.6466666666666656</v>
      </c>
      <c r="AJ6" s="60">
        <f>AVERAGE(U5:AJ5)</f>
        <v>7.7749999999999995</v>
      </c>
      <c r="AK6" s="60"/>
      <c r="AL6" s="60"/>
      <c r="AM6" s="60"/>
      <c r="AN6" s="60"/>
      <c r="AO6" s="60"/>
      <c r="AP6" s="60"/>
    </row>
    <row r="7" spans="1:42" x14ac:dyDescent="0.2"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</row>
    <row r="8" spans="1:42" x14ac:dyDescent="0.2">
      <c r="A8" s="6" t="s">
        <v>82</v>
      </c>
      <c r="C8" s="35">
        <f>_xlfn.NUMBERVALUE(tsh_IS!D12)</f>
        <v>1.2</v>
      </c>
      <c r="D8" s="35">
        <f>_xlfn.NUMBERVALUE(tsh_IS!E12)</f>
        <v>1.2</v>
      </c>
      <c r="E8" s="35">
        <f>_xlfn.NUMBERVALUE(tsh_IS!F12)</f>
        <v>1.4</v>
      </c>
      <c r="F8" s="35">
        <f>_xlfn.NUMBERVALUE(tsh_IS!G12)</f>
        <v>1.4</v>
      </c>
      <c r="G8" s="35">
        <f>_xlfn.NUMBERVALUE(tsh_IS!H12)</f>
        <v>1.7</v>
      </c>
      <c r="H8" s="35">
        <f>_xlfn.NUMBERVALUE(tsh_IS!I12)</f>
        <v>1.7</v>
      </c>
      <c r="I8" s="35">
        <f>_xlfn.NUMBERVALUE(tsh_IS!J12)</f>
        <v>1.6</v>
      </c>
      <c r="J8" s="35">
        <f>_xlfn.NUMBERVALUE(tsh_IS!K12)</f>
        <v>1.6</v>
      </c>
      <c r="K8" s="35">
        <f>_xlfn.NUMBERVALUE(tsh_IS!L12)</f>
        <v>1.9</v>
      </c>
      <c r="L8" s="35">
        <f>_xlfn.NUMBERVALUE(tsh_IS!M12)</f>
        <v>1.9</v>
      </c>
      <c r="M8" s="35">
        <f>_xlfn.NUMBERVALUE(tsh_IS!N12)</f>
        <v>2</v>
      </c>
      <c r="N8" s="35">
        <f>_xlfn.NUMBERVALUE(tsh_IS!O12)</f>
        <v>2</v>
      </c>
      <c r="O8" s="35">
        <f>_xlfn.NUMBERVALUE(tsh_IS!P12)</f>
        <v>0.9</v>
      </c>
      <c r="P8" s="35">
        <f>_xlfn.NUMBERVALUE(tsh_IS!Q12)</f>
        <v>0.9</v>
      </c>
      <c r="Q8" s="35">
        <f>_xlfn.NUMBERVALUE(tsh_IS!R12)</f>
        <v>1.2</v>
      </c>
      <c r="R8" s="35">
        <f>_xlfn.NUMBERVALUE(tsh_IS!S12)</f>
        <v>1.2</v>
      </c>
      <c r="S8" s="35">
        <f>_xlfn.NUMBERVALUE(tsh_IS!T12)</f>
        <v>1.3</v>
      </c>
      <c r="T8" s="35">
        <f>_xlfn.NUMBERVALUE(tsh_IS!U12)</f>
        <v>1.3</v>
      </c>
      <c r="U8" s="35">
        <f>_xlfn.NUMBERVALUE(tsh_IS!V12)</f>
        <v>1.3</v>
      </c>
      <c r="V8" s="35">
        <f>_xlfn.NUMBERVALUE(tsh_IS!W12)</f>
        <v>1.3</v>
      </c>
      <c r="W8" s="35">
        <f>_xlfn.NUMBERVALUE(tsh_IS!X12)</f>
        <v>1.7</v>
      </c>
      <c r="X8" s="35">
        <f>_xlfn.NUMBERVALUE(tsh_IS!Y12)</f>
        <v>1.7</v>
      </c>
      <c r="Y8" s="35">
        <f>_xlfn.NUMBERVALUE(tsh_IS!Z12)</f>
        <v>2.7</v>
      </c>
      <c r="Z8" s="35">
        <f>_xlfn.NUMBERVALUE(tsh_IS!AA12)</f>
        <v>2.7</v>
      </c>
      <c r="AA8" s="35">
        <f>_xlfn.NUMBERVALUE(tsh_IS!AB12)</f>
        <v>2.5</v>
      </c>
      <c r="AB8" s="35">
        <f>_xlfn.NUMBERVALUE(tsh_IS!AC12)</f>
        <v>2.5</v>
      </c>
      <c r="AC8" s="35">
        <f>_xlfn.NUMBERVALUE(tsh_IS!AD12)</f>
        <v>3</v>
      </c>
      <c r="AD8" s="35">
        <f>_xlfn.NUMBERVALUE(tsh_IS!AE12)</f>
        <v>3</v>
      </c>
      <c r="AE8" s="35">
        <f>_xlfn.NUMBERVALUE(tsh_IS!AF12)</f>
        <v>2.5</v>
      </c>
      <c r="AF8" s="35">
        <f>_xlfn.NUMBERVALUE(tsh_IS!AG12)</f>
        <v>2.5</v>
      </c>
      <c r="AG8" s="35">
        <f>_xlfn.NUMBERVALUE(tsh_IS!AH12)</f>
        <v>3.3</v>
      </c>
      <c r="AH8" s="35">
        <f>_xlfn.NUMBERVALUE(tsh_IS!AI12)</f>
        <v>3.3</v>
      </c>
      <c r="AI8" s="35">
        <f>_xlfn.NUMBERVALUE(tsh_IS!AJ12)</f>
        <v>2.8</v>
      </c>
      <c r="AJ8" s="35">
        <f>_xlfn.NUMBERVALUE(tsh_IS!AK12)</f>
        <v>2.8</v>
      </c>
      <c r="AK8" s="35"/>
      <c r="AL8" s="35"/>
      <c r="AM8" s="35"/>
      <c r="AN8" s="35"/>
      <c r="AO8" s="35"/>
      <c r="AP8" s="35"/>
    </row>
    <row r="9" spans="1:42" x14ac:dyDescent="0.2">
      <c r="A9" s="6" t="s">
        <v>155</v>
      </c>
      <c r="C9" s="35">
        <f>_xlfn.NUMBERVALUE(tsh_IS!D23)</f>
        <v>0.2</v>
      </c>
      <c r="D9" s="35">
        <f>_xlfn.NUMBERVALUE(tsh_IS!E23)</f>
        <v>0.2</v>
      </c>
      <c r="E9" s="35">
        <f>_xlfn.NUMBERVALUE(tsh_IS!F23)</f>
        <v>0.4</v>
      </c>
      <c r="F9" s="35">
        <f>_xlfn.NUMBERVALUE(tsh_IS!G23)</f>
        <v>0.4</v>
      </c>
      <c r="G9" s="35">
        <f>_xlfn.NUMBERVALUE(tsh_IS!H23)</f>
        <v>0.4</v>
      </c>
      <c r="H9" s="35">
        <f>_xlfn.NUMBERVALUE(tsh_IS!I23)</f>
        <v>0.4</v>
      </c>
      <c r="I9" s="35">
        <f>_xlfn.NUMBERVALUE(tsh_IS!J23)</f>
        <v>-0.1</v>
      </c>
      <c r="J9" s="35">
        <f>_xlfn.NUMBERVALUE(tsh_IS!K23)</f>
        <v>-0.1</v>
      </c>
      <c r="K9" s="35">
        <f>_xlfn.NUMBERVALUE(tsh_IS!L23)</f>
        <v>0.2</v>
      </c>
      <c r="L9" s="35">
        <f>_xlfn.NUMBERVALUE(tsh_IS!M23)</f>
        <v>0.2</v>
      </c>
      <c r="M9" s="35">
        <f>_xlfn.NUMBERVALUE(tsh_IS!N23)</f>
        <v>0.1</v>
      </c>
      <c r="N9" s="35">
        <f>_xlfn.NUMBERVALUE(tsh_IS!O23)</f>
        <v>0.1</v>
      </c>
      <c r="O9" s="35">
        <f>_xlfn.NUMBERVALUE(tsh_IS!P23)</f>
        <v>-0.3</v>
      </c>
      <c r="P9" s="35">
        <f>_xlfn.NUMBERVALUE(tsh_IS!Q23)</f>
        <v>-0.3</v>
      </c>
      <c r="Q9" s="35">
        <f>_xlfn.NUMBERVALUE(tsh_IS!R23)</f>
        <v>-0.7</v>
      </c>
      <c r="R9" s="35">
        <f>_xlfn.NUMBERVALUE(tsh_IS!S23)</f>
        <v>-0.7</v>
      </c>
      <c r="S9" s="35">
        <f>_xlfn.NUMBERVALUE(tsh_IS!T23)</f>
        <v>0.1</v>
      </c>
      <c r="T9" s="35">
        <f>_xlfn.NUMBERVALUE(tsh_IS!U23)</f>
        <v>0.1</v>
      </c>
      <c r="U9" s="35">
        <f>_xlfn.NUMBERVALUE(tsh_IS!V23)</f>
        <v>-0.2</v>
      </c>
      <c r="V9" s="35">
        <f>_xlfn.NUMBERVALUE(tsh_IS!W23)</f>
        <v>-0.2</v>
      </c>
      <c r="W9" s="35">
        <f>_xlfn.NUMBERVALUE(tsh_IS!X23)</f>
        <v>0.2</v>
      </c>
      <c r="X9" s="35">
        <f>_xlfn.NUMBERVALUE(tsh_IS!Y23)</f>
        <v>0.2</v>
      </c>
      <c r="Y9" s="35">
        <f>_xlfn.NUMBERVALUE(tsh_IS!Z23)</f>
        <v>0.3</v>
      </c>
      <c r="Z9" s="35">
        <f>_xlfn.NUMBERVALUE(tsh_IS!AA23)</f>
        <v>0.3</v>
      </c>
      <c r="AA9" s="35">
        <f>_xlfn.NUMBERVALUE(tsh_IS!AB23)</f>
        <v>0.2</v>
      </c>
      <c r="AB9" s="35">
        <f>_xlfn.NUMBERVALUE(tsh_IS!AC23)</f>
        <v>0.2</v>
      </c>
      <c r="AC9" s="35">
        <f>_xlfn.NUMBERVALUE(tsh_IS!AD23)</f>
        <v>0.1</v>
      </c>
      <c r="AD9" s="35">
        <f>_xlfn.NUMBERVALUE(tsh_IS!AE23)</f>
        <v>0.1</v>
      </c>
      <c r="AE9" s="35">
        <f>_xlfn.NUMBERVALUE(tsh_IS!AF23)</f>
        <v>0.2</v>
      </c>
      <c r="AF9" s="35">
        <f>_xlfn.NUMBERVALUE(tsh_IS!AG23)</f>
        <v>0.2</v>
      </c>
      <c r="AG9" s="35">
        <f>_xlfn.NUMBERVALUE(tsh_IS!AH23)</f>
        <v>0.3</v>
      </c>
      <c r="AH9" s="35">
        <f>_xlfn.NUMBERVALUE(tsh_IS!AI23)</f>
        <v>0.3</v>
      </c>
      <c r="AI9" s="35">
        <f>_xlfn.NUMBERVALUE(tsh_IS!AJ23)</f>
        <v>0.2</v>
      </c>
      <c r="AJ9" s="35">
        <f>_xlfn.NUMBERVALUE(tsh_IS!AK23)</f>
        <v>0.2</v>
      </c>
      <c r="AK9" s="35"/>
      <c r="AL9" s="35"/>
      <c r="AM9" s="35"/>
      <c r="AN9" s="35"/>
      <c r="AO9" s="35"/>
      <c r="AP9" s="35"/>
    </row>
    <row r="10" spans="1:42" x14ac:dyDescent="0.2">
      <c r="A10" s="6" t="s">
        <v>156</v>
      </c>
      <c r="C10" s="35">
        <f>_xlfn.NUMBERVALUE(tsh_IS!D29)</f>
        <v>0.1</v>
      </c>
      <c r="D10" s="35">
        <f>_xlfn.NUMBERVALUE(tsh_IS!E29)</f>
        <v>0.1</v>
      </c>
      <c r="E10" s="35">
        <f>_xlfn.NUMBERVALUE(tsh_IS!F29)</f>
        <v>0.4</v>
      </c>
      <c r="F10" s="35">
        <f>_xlfn.NUMBERVALUE(tsh_IS!G29)</f>
        <v>0.4</v>
      </c>
      <c r="G10" s="35">
        <f>_xlfn.NUMBERVALUE(tsh_IS!H29)</f>
        <v>0.3</v>
      </c>
      <c r="H10" s="35">
        <f>_xlfn.NUMBERVALUE(tsh_IS!I29)</f>
        <v>0.3</v>
      </c>
      <c r="I10" s="35">
        <f>_xlfn.NUMBERVALUE(tsh_IS!J29)</f>
        <v>-0.1</v>
      </c>
      <c r="J10" s="35">
        <f>_xlfn.NUMBERVALUE(tsh_IS!K29)</f>
        <v>-0.1</v>
      </c>
      <c r="K10" s="35">
        <f>_xlfn.NUMBERVALUE(tsh_IS!L29)</f>
        <v>0.2</v>
      </c>
      <c r="L10" s="35">
        <f>_xlfn.NUMBERVALUE(tsh_IS!M29)</f>
        <v>0.2</v>
      </c>
      <c r="M10" s="35">
        <f>_xlfn.NUMBERVALUE(tsh_IS!N29)</f>
        <v>0.1</v>
      </c>
      <c r="N10" s="35">
        <f>_xlfn.NUMBERVALUE(tsh_IS!O29)</f>
        <v>0.1</v>
      </c>
      <c r="O10" s="35">
        <f>_xlfn.NUMBERVALUE(tsh_IS!P29)</f>
        <v>-0.3</v>
      </c>
      <c r="P10" s="35">
        <f>_xlfn.NUMBERVALUE(tsh_IS!Q29)</f>
        <v>-0.3</v>
      </c>
      <c r="Q10" s="35">
        <f>_xlfn.NUMBERVALUE(tsh_IS!R29)</f>
        <v>-0.7</v>
      </c>
      <c r="R10" s="35">
        <f>_xlfn.NUMBERVALUE(tsh_IS!S29)</f>
        <v>-0.7</v>
      </c>
      <c r="S10" s="35">
        <f>_xlfn.NUMBERVALUE(tsh_IS!T29)</f>
        <v>0.1</v>
      </c>
      <c r="T10" s="35">
        <f>_xlfn.NUMBERVALUE(tsh_IS!U29)</f>
        <v>0.1</v>
      </c>
      <c r="U10" s="35">
        <f>_xlfn.NUMBERVALUE(tsh_IS!V29)</f>
        <v>-0.3</v>
      </c>
      <c r="V10" s="35">
        <f>_xlfn.NUMBERVALUE(tsh_IS!W29)</f>
        <v>-0.3</v>
      </c>
      <c r="W10" s="35">
        <f>_xlfn.NUMBERVALUE(tsh_IS!X29)</f>
        <v>0.2</v>
      </c>
      <c r="X10" s="35">
        <f>_xlfn.NUMBERVALUE(tsh_IS!Y29)</f>
        <v>0.2</v>
      </c>
      <c r="Y10" s="35">
        <f>_xlfn.NUMBERVALUE(tsh_IS!Z29)</f>
        <v>0.3</v>
      </c>
      <c r="Z10" s="35">
        <f>_xlfn.NUMBERVALUE(tsh_IS!AA29)</f>
        <v>0.3</v>
      </c>
      <c r="AA10" s="35">
        <f>_xlfn.NUMBERVALUE(tsh_IS!AB29)</f>
        <v>0.1</v>
      </c>
      <c r="AB10" s="35">
        <f>_xlfn.NUMBERVALUE(tsh_IS!AC29)</f>
        <v>0.1</v>
      </c>
      <c r="AC10" s="35">
        <f>_xlfn.NUMBERVALUE(tsh_IS!AD29)</f>
        <v>0.1</v>
      </c>
      <c r="AD10" s="35">
        <f>_xlfn.NUMBERVALUE(tsh_IS!AE29)</f>
        <v>0.1</v>
      </c>
      <c r="AE10" s="35">
        <f>_xlfn.NUMBERVALUE(tsh_IS!AF29)</f>
        <v>0.1</v>
      </c>
      <c r="AF10" s="35">
        <f>_xlfn.NUMBERVALUE(tsh_IS!AG29)</f>
        <v>0.1</v>
      </c>
      <c r="AG10" s="35">
        <f>_xlfn.NUMBERVALUE(tsh_IS!AH29)</f>
        <v>0.3</v>
      </c>
      <c r="AH10" s="35">
        <f>_xlfn.NUMBERVALUE(tsh_IS!AI29)</f>
        <v>0.3</v>
      </c>
      <c r="AI10" s="35">
        <f>_xlfn.NUMBERVALUE(tsh_IS!AJ29)</f>
        <v>0.2</v>
      </c>
      <c r="AJ10" s="35">
        <f>_xlfn.NUMBERVALUE(tsh_IS!AK29)</f>
        <v>0.2</v>
      </c>
      <c r="AK10" s="35"/>
      <c r="AL10" s="35"/>
      <c r="AM10" s="35"/>
      <c r="AN10" s="35"/>
      <c r="AO10" s="35"/>
      <c r="AP10" s="35"/>
    </row>
    <row r="11" spans="1:42" x14ac:dyDescent="0.2"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</row>
    <row r="12" spans="1:42" x14ac:dyDescent="0.2">
      <c r="A12" s="49" t="s">
        <v>157</v>
      </c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</row>
    <row r="13" spans="1:42" x14ac:dyDescent="0.2">
      <c r="A13" s="6" t="s">
        <v>158</v>
      </c>
      <c r="D13" s="12" t="e">
        <f t="shared" ref="D13:AJ13" si="2">D9/D3</f>
        <v>#DIV/0!</v>
      </c>
      <c r="E13" s="12">
        <f t="shared" si="2"/>
        <v>0.16326530612244897</v>
      </c>
      <c r="F13" s="12">
        <f t="shared" si="2"/>
        <v>8.1632653061224483E-2</v>
      </c>
      <c r="G13" s="12">
        <f t="shared" si="2"/>
        <v>8.1632653061224483E-2</v>
      </c>
      <c r="H13" s="12">
        <f t="shared" si="2"/>
        <v>8.1632653061224483E-2</v>
      </c>
      <c r="I13" s="12">
        <f t="shared" si="2"/>
        <v>-1.8518518518518517E-2</v>
      </c>
      <c r="J13" s="12">
        <f t="shared" si="2"/>
        <v>-1.6949152542372881E-2</v>
      </c>
      <c r="K13" s="12">
        <f t="shared" si="2"/>
        <v>2.247191011235955E-2</v>
      </c>
      <c r="L13" s="12">
        <f t="shared" si="2"/>
        <v>1.680672268907563E-2</v>
      </c>
      <c r="M13" s="12">
        <f t="shared" si="2"/>
        <v>8.0645161290322578E-3</v>
      </c>
      <c r="N13" s="12">
        <f t="shared" si="2"/>
        <v>7.7519379844961239E-3</v>
      </c>
      <c r="O13" s="12">
        <f t="shared" si="2"/>
        <v>-2.4291497975708499E-2</v>
      </c>
      <c r="P13" s="12">
        <f t="shared" si="2"/>
        <v>-2.542372881355932E-2</v>
      </c>
      <c r="Q13" s="12">
        <f t="shared" si="2"/>
        <v>-6.363636363636363E-2</v>
      </c>
      <c r="R13" s="12">
        <f t="shared" si="2"/>
        <v>-6.8627450980392163E-2</v>
      </c>
      <c r="S13" s="12">
        <f t="shared" si="2"/>
        <v>9.0090090090090089E-3</v>
      </c>
      <c r="T13" s="12">
        <f t="shared" si="2"/>
        <v>8.3333333333333332E-3</v>
      </c>
      <c r="U13" s="12">
        <f t="shared" si="2"/>
        <v>-1.7021276595744681E-2</v>
      </c>
      <c r="V13" s="61">
        <f t="shared" si="2"/>
        <v>-1.7391304347826087E-2</v>
      </c>
      <c r="W13" s="61">
        <f t="shared" si="2"/>
        <v>1.7391304347826087E-2</v>
      </c>
      <c r="X13" s="61">
        <f t="shared" si="2"/>
        <v>1.7391304347826087E-2</v>
      </c>
      <c r="Y13" s="61">
        <f t="shared" si="2"/>
        <v>2.4793388429752067E-2</v>
      </c>
      <c r="Z13" s="61">
        <f t="shared" si="2"/>
        <v>2.4E-2</v>
      </c>
      <c r="AA13" s="61">
        <f t="shared" si="2"/>
        <v>1.5659955257270694E-2</v>
      </c>
      <c r="AB13" s="61">
        <f t="shared" si="2"/>
        <v>1.5414258188824663E-2</v>
      </c>
      <c r="AC13" s="61">
        <f t="shared" si="2"/>
        <v>7.569386038687973E-3</v>
      </c>
      <c r="AD13" s="61">
        <f t="shared" si="2"/>
        <v>7.462686567164179E-3</v>
      </c>
      <c r="AE13" s="61">
        <f t="shared" si="2"/>
        <v>1.480484522207268E-2</v>
      </c>
      <c r="AF13" s="61">
        <f t="shared" si="2"/>
        <v>1.4705882352941178E-2</v>
      </c>
      <c r="AG13" s="61">
        <f t="shared" si="2"/>
        <v>2.1996615905245348E-2</v>
      </c>
      <c r="AH13" s="61">
        <f t="shared" si="2"/>
        <v>2.1943573667711602E-2</v>
      </c>
      <c r="AI13" s="61">
        <f t="shared" si="2"/>
        <v>1.4598540145985404E-2</v>
      </c>
      <c r="AJ13" s="61">
        <f t="shared" si="2"/>
        <v>1.457194899817851E-2</v>
      </c>
      <c r="AK13" s="61"/>
      <c r="AL13" s="61"/>
      <c r="AM13" s="61"/>
      <c r="AN13" s="61"/>
      <c r="AO13" s="61"/>
      <c r="AP13" s="61"/>
    </row>
    <row r="14" spans="1:42" x14ac:dyDescent="0.2">
      <c r="A14" s="6" t="s">
        <v>159</v>
      </c>
      <c r="D14" s="12" t="e">
        <f t="shared" ref="D14:AJ14" si="3">D10/D3</f>
        <v>#DIV/0!</v>
      </c>
      <c r="E14" s="12">
        <f t="shared" si="3"/>
        <v>0.16326530612244897</v>
      </c>
      <c r="F14" s="12">
        <f t="shared" si="3"/>
        <v>8.1632653061224483E-2</v>
      </c>
      <c r="G14" s="12">
        <f t="shared" si="3"/>
        <v>6.1224489795918359E-2</v>
      </c>
      <c r="H14" s="12">
        <f t="shared" si="3"/>
        <v>6.1224489795918359E-2</v>
      </c>
      <c r="I14" s="12">
        <f t="shared" si="3"/>
        <v>-1.8518518518518517E-2</v>
      </c>
      <c r="J14" s="12">
        <f t="shared" si="3"/>
        <v>-1.6949152542372881E-2</v>
      </c>
      <c r="K14" s="12">
        <f t="shared" si="3"/>
        <v>2.247191011235955E-2</v>
      </c>
      <c r="L14" s="12">
        <f t="shared" si="3"/>
        <v>1.680672268907563E-2</v>
      </c>
      <c r="M14" s="12">
        <f t="shared" si="3"/>
        <v>8.0645161290322578E-3</v>
      </c>
      <c r="N14" s="12">
        <f t="shared" si="3"/>
        <v>7.7519379844961239E-3</v>
      </c>
      <c r="O14" s="12">
        <f t="shared" si="3"/>
        <v>-2.4291497975708499E-2</v>
      </c>
      <c r="P14" s="12">
        <f t="shared" si="3"/>
        <v>-2.542372881355932E-2</v>
      </c>
      <c r="Q14" s="12">
        <f t="shared" si="3"/>
        <v>-6.363636363636363E-2</v>
      </c>
      <c r="R14" s="12">
        <f t="shared" si="3"/>
        <v>-6.8627450980392163E-2</v>
      </c>
      <c r="S14" s="12">
        <f t="shared" si="3"/>
        <v>9.0090090090090089E-3</v>
      </c>
      <c r="T14" s="12">
        <f t="shared" si="3"/>
        <v>8.3333333333333332E-3</v>
      </c>
      <c r="U14" s="12">
        <f t="shared" si="3"/>
        <v>-2.553191489361702E-2</v>
      </c>
      <c r="V14" s="61">
        <f t="shared" si="3"/>
        <v>-2.6086956521739129E-2</v>
      </c>
      <c r="W14" s="61">
        <f t="shared" si="3"/>
        <v>1.7391304347826087E-2</v>
      </c>
      <c r="X14" s="61">
        <f t="shared" si="3"/>
        <v>1.7391304347826087E-2</v>
      </c>
      <c r="Y14" s="61">
        <f t="shared" si="3"/>
        <v>2.4793388429752067E-2</v>
      </c>
      <c r="Z14" s="61">
        <f t="shared" si="3"/>
        <v>2.4E-2</v>
      </c>
      <c r="AA14" s="61">
        <f t="shared" si="3"/>
        <v>7.829977628635347E-3</v>
      </c>
      <c r="AB14" s="61">
        <f t="shared" si="3"/>
        <v>7.7071290944123313E-3</v>
      </c>
      <c r="AC14" s="61">
        <f t="shared" si="3"/>
        <v>7.569386038687973E-3</v>
      </c>
      <c r="AD14" s="61">
        <f t="shared" si="3"/>
        <v>7.462686567164179E-3</v>
      </c>
      <c r="AE14" s="61">
        <f t="shared" si="3"/>
        <v>7.4024226110363401E-3</v>
      </c>
      <c r="AF14" s="61">
        <f t="shared" si="3"/>
        <v>7.352941176470589E-3</v>
      </c>
      <c r="AG14" s="61">
        <f t="shared" si="3"/>
        <v>2.1996615905245348E-2</v>
      </c>
      <c r="AH14" s="61">
        <f t="shared" si="3"/>
        <v>2.1943573667711602E-2</v>
      </c>
      <c r="AI14" s="61">
        <f t="shared" si="3"/>
        <v>1.4598540145985404E-2</v>
      </c>
      <c r="AJ14" s="61">
        <f t="shared" si="3"/>
        <v>1.457194899817851E-2</v>
      </c>
      <c r="AK14" s="61"/>
      <c r="AL14" s="61"/>
      <c r="AM14" s="61"/>
      <c r="AN14" s="61"/>
      <c r="AO14" s="61"/>
      <c r="AP14" s="61"/>
    </row>
    <row r="15" spans="1:42" x14ac:dyDescent="0.2">
      <c r="A15" s="49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</row>
    <row r="16" spans="1:42" x14ac:dyDescent="0.2">
      <c r="A16" s="6" t="s">
        <v>160</v>
      </c>
      <c r="D16" s="12">
        <f t="shared" ref="D16:AJ16" si="4">D9/D6</f>
        <v>0.57142857142857151</v>
      </c>
      <c r="E16" s="12">
        <f t="shared" si="4"/>
        <v>0.44444444444444448</v>
      </c>
      <c r="F16" s="12">
        <f t="shared" si="4"/>
        <v>0.22222222222222224</v>
      </c>
      <c r="G16" s="12">
        <f t="shared" si="4"/>
        <v>0.19047619047619047</v>
      </c>
      <c r="H16" s="12">
        <f t="shared" si="4"/>
        <v>0.16666666666666669</v>
      </c>
      <c r="I16" s="12">
        <f t="shared" si="4"/>
        <v>-3.3333333333333333E-2</v>
      </c>
      <c r="J16" s="12">
        <f t="shared" si="4"/>
        <v>-2.777777777777778E-2</v>
      </c>
      <c r="K16" s="12">
        <f t="shared" si="4"/>
        <v>3.3057851239669422E-2</v>
      </c>
      <c r="L16" s="12">
        <f t="shared" si="4"/>
        <v>2.3529411764705882E-2</v>
      </c>
      <c r="M16" s="12">
        <f t="shared" si="4"/>
        <v>1.1560693641618497E-2</v>
      </c>
      <c r="N16" s="12">
        <f t="shared" si="4"/>
        <v>1.1363636363636364E-2</v>
      </c>
      <c r="O16" s="12">
        <f t="shared" si="4"/>
        <v>-3.5294117647058823E-2</v>
      </c>
      <c r="P16" s="12">
        <f t="shared" si="4"/>
        <v>-3.6585365853658541E-2</v>
      </c>
      <c r="Q16" s="12">
        <f t="shared" si="4"/>
        <v>-9.3333333333333324E-2</v>
      </c>
      <c r="R16" s="12">
        <f t="shared" si="4"/>
        <v>-0.10294117647058823</v>
      </c>
      <c r="S16" s="12">
        <f t="shared" si="4"/>
        <v>1.4492753623188406E-2</v>
      </c>
      <c r="T16" s="12">
        <f t="shared" si="4"/>
        <v>1.4285714285714287E-2</v>
      </c>
      <c r="U16" s="12">
        <f t="shared" si="4"/>
        <v>-2.9629629629629631E-2</v>
      </c>
      <c r="V16" s="61">
        <f t="shared" si="4"/>
        <v>-3.0769230769230771E-2</v>
      </c>
      <c r="W16" s="61">
        <f t="shared" si="4"/>
        <v>3.0303030303030304E-2</v>
      </c>
      <c r="X16" s="61">
        <f t="shared" si="4"/>
        <v>3.007518796992481E-2</v>
      </c>
      <c r="Y16" s="61">
        <f t="shared" si="4"/>
        <v>4.4247787610619468E-2</v>
      </c>
      <c r="Z16" s="61">
        <f t="shared" si="4"/>
        <v>4.3689320388349516E-2</v>
      </c>
      <c r="AA16" s="61">
        <f t="shared" si="4"/>
        <v>2.8688524590163939E-2</v>
      </c>
      <c r="AB16" s="61">
        <f t="shared" si="4"/>
        <v>2.8368794326241138E-2</v>
      </c>
      <c r="AC16" s="61">
        <f t="shared" si="4"/>
        <v>1.4040561622464901E-2</v>
      </c>
      <c r="AD16" s="61">
        <f t="shared" si="4"/>
        <v>1.3927576601671311E-2</v>
      </c>
      <c r="AE16" s="61">
        <f t="shared" si="4"/>
        <v>2.7568922305764416E-2</v>
      </c>
      <c r="AF16" s="61">
        <f t="shared" si="4"/>
        <v>2.7334851936218683E-2</v>
      </c>
      <c r="AG16" s="61">
        <f t="shared" si="4"/>
        <v>4.0456431535269712E-2</v>
      </c>
      <c r="AH16" s="61">
        <f t="shared" si="4"/>
        <v>0.04</v>
      </c>
      <c r="AI16" s="61">
        <f t="shared" si="4"/>
        <v>2.6155187445510032E-2</v>
      </c>
      <c r="AJ16" s="61">
        <f t="shared" si="4"/>
        <v>2.5723472668810293E-2</v>
      </c>
      <c r="AK16" s="61"/>
      <c r="AL16" s="61"/>
      <c r="AM16" s="61"/>
      <c r="AN16" s="61"/>
      <c r="AO16" s="61"/>
      <c r="AP16" s="61"/>
    </row>
    <row r="17" spans="1:42" x14ac:dyDescent="0.2">
      <c r="A17" s="6" t="s">
        <v>161</v>
      </c>
      <c r="D17" s="12">
        <f t="shared" ref="D17:AJ17" si="5">D10/D6</f>
        <v>0.28571428571428575</v>
      </c>
      <c r="E17" s="12">
        <f t="shared" si="5"/>
        <v>0.44444444444444448</v>
      </c>
      <c r="F17" s="12">
        <f t="shared" si="5"/>
        <v>0.22222222222222224</v>
      </c>
      <c r="G17" s="12">
        <f t="shared" si="5"/>
        <v>0.14285714285714285</v>
      </c>
      <c r="H17" s="12">
        <f t="shared" si="5"/>
        <v>0.125</v>
      </c>
      <c r="I17" s="12">
        <f t="shared" si="5"/>
        <v>-3.3333333333333333E-2</v>
      </c>
      <c r="J17" s="12">
        <f t="shared" si="5"/>
        <v>-2.777777777777778E-2</v>
      </c>
      <c r="K17" s="12">
        <f t="shared" si="5"/>
        <v>3.3057851239669422E-2</v>
      </c>
      <c r="L17" s="12">
        <f t="shared" si="5"/>
        <v>2.3529411764705882E-2</v>
      </c>
      <c r="M17" s="12">
        <f t="shared" si="5"/>
        <v>1.1560693641618497E-2</v>
      </c>
      <c r="N17" s="12">
        <f t="shared" si="5"/>
        <v>1.1363636363636364E-2</v>
      </c>
      <c r="O17" s="12">
        <f t="shared" si="5"/>
        <v>-3.5294117647058823E-2</v>
      </c>
      <c r="P17" s="12">
        <f t="shared" si="5"/>
        <v>-3.6585365853658541E-2</v>
      </c>
      <c r="Q17" s="12">
        <f t="shared" si="5"/>
        <v>-9.3333333333333324E-2</v>
      </c>
      <c r="R17" s="12">
        <f t="shared" si="5"/>
        <v>-0.10294117647058823</v>
      </c>
      <c r="S17" s="12">
        <f t="shared" si="5"/>
        <v>1.4492753623188406E-2</v>
      </c>
      <c r="T17" s="12">
        <f t="shared" si="5"/>
        <v>1.4285714285714287E-2</v>
      </c>
      <c r="U17" s="12">
        <f t="shared" si="5"/>
        <v>-4.4444444444444446E-2</v>
      </c>
      <c r="V17" s="61">
        <f t="shared" si="5"/>
        <v>-4.6153846153846149E-2</v>
      </c>
      <c r="W17" s="61">
        <f t="shared" si="5"/>
        <v>3.0303030303030304E-2</v>
      </c>
      <c r="X17" s="61">
        <f t="shared" si="5"/>
        <v>3.007518796992481E-2</v>
      </c>
      <c r="Y17" s="61">
        <f t="shared" si="5"/>
        <v>4.4247787610619468E-2</v>
      </c>
      <c r="Z17" s="61">
        <f t="shared" si="5"/>
        <v>4.3689320388349516E-2</v>
      </c>
      <c r="AA17" s="61">
        <f t="shared" si="5"/>
        <v>1.4344262295081969E-2</v>
      </c>
      <c r="AB17" s="61">
        <f t="shared" si="5"/>
        <v>1.4184397163120569E-2</v>
      </c>
      <c r="AC17" s="61">
        <f t="shared" si="5"/>
        <v>1.4040561622464901E-2</v>
      </c>
      <c r="AD17" s="61">
        <f t="shared" si="5"/>
        <v>1.3927576601671311E-2</v>
      </c>
      <c r="AE17" s="61">
        <f t="shared" si="5"/>
        <v>1.3784461152882208E-2</v>
      </c>
      <c r="AF17" s="61">
        <f t="shared" si="5"/>
        <v>1.3667425968109341E-2</v>
      </c>
      <c r="AG17" s="61">
        <f t="shared" si="5"/>
        <v>4.0456431535269712E-2</v>
      </c>
      <c r="AH17" s="61">
        <f t="shared" si="5"/>
        <v>0.04</v>
      </c>
      <c r="AI17" s="61">
        <f t="shared" si="5"/>
        <v>2.6155187445510032E-2</v>
      </c>
      <c r="AJ17" s="61">
        <f t="shared" si="5"/>
        <v>2.5723472668810293E-2</v>
      </c>
      <c r="AK17" s="61"/>
      <c r="AL17" s="61"/>
      <c r="AM17" s="61"/>
      <c r="AN17" s="61"/>
      <c r="AO17" s="61"/>
      <c r="AP17" s="61"/>
    </row>
    <row r="18" spans="1:42" x14ac:dyDescent="0.2"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</row>
    <row r="19" spans="1:42" ht="15" customHeight="1" x14ac:dyDescent="0.25">
      <c r="A19" s="16" t="s">
        <v>162</v>
      </c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</row>
    <row r="20" spans="1:42" x14ac:dyDescent="0.2">
      <c r="A20" s="6" t="s">
        <v>158</v>
      </c>
      <c r="C20" s="12"/>
      <c r="D20" s="12" t="e">
        <f t="shared" ref="D20:AJ20" si="6">D13*2</f>
        <v>#DIV/0!</v>
      </c>
      <c r="E20" s="12">
        <f t="shared" si="6"/>
        <v>0.32653061224489793</v>
      </c>
      <c r="F20" s="12">
        <f t="shared" si="6"/>
        <v>0.16326530612244897</v>
      </c>
      <c r="G20" s="12">
        <f t="shared" si="6"/>
        <v>0.16326530612244897</v>
      </c>
      <c r="H20" s="12">
        <f t="shared" si="6"/>
        <v>0.16326530612244897</v>
      </c>
      <c r="I20" s="12">
        <f t="shared" si="6"/>
        <v>-3.7037037037037035E-2</v>
      </c>
      <c r="J20" s="12">
        <f t="shared" si="6"/>
        <v>-3.3898305084745763E-2</v>
      </c>
      <c r="K20" s="12">
        <f t="shared" si="6"/>
        <v>4.49438202247191E-2</v>
      </c>
      <c r="L20" s="12">
        <f t="shared" si="6"/>
        <v>3.3613445378151259E-2</v>
      </c>
      <c r="M20" s="12">
        <f t="shared" si="6"/>
        <v>1.6129032258064516E-2</v>
      </c>
      <c r="N20" s="12">
        <f t="shared" si="6"/>
        <v>1.5503875968992248E-2</v>
      </c>
      <c r="O20" s="12">
        <f t="shared" si="6"/>
        <v>-4.8582995951416998E-2</v>
      </c>
      <c r="P20" s="12">
        <f t="shared" si="6"/>
        <v>-5.084745762711864E-2</v>
      </c>
      <c r="Q20" s="12">
        <f t="shared" si="6"/>
        <v>-0.12727272727272726</v>
      </c>
      <c r="R20" s="12">
        <f t="shared" si="6"/>
        <v>-0.13725490196078433</v>
      </c>
      <c r="S20" s="12">
        <f t="shared" si="6"/>
        <v>1.8018018018018018E-2</v>
      </c>
      <c r="T20" s="12">
        <f t="shared" si="6"/>
        <v>1.6666666666666666E-2</v>
      </c>
      <c r="U20" s="12">
        <f t="shared" si="6"/>
        <v>-3.4042553191489362E-2</v>
      </c>
      <c r="V20" s="61">
        <f t="shared" si="6"/>
        <v>-3.4782608695652174E-2</v>
      </c>
      <c r="W20" s="61">
        <f t="shared" si="6"/>
        <v>3.4782608695652174E-2</v>
      </c>
      <c r="X20" s="61">
        <f t="shared" si="6"/>
        <v>3.4782608695652174E-2</v>
      </c>
      <c r="Y20" s="61">
        <f t="shared" si="6"/>
        <v>4.9586776859504134E-2</v>
      </c>
      <c r="Z20" s="61">
        <f t="shared" si="6"/>
        <v>4.8000000000000001E-2</v>
      </c>
      <c r="AA20" s="61">
        <f t="shared" si="6"/>
        <v>3.1319910514541388E-2</v>
      </c>
      <c r="AB20" s="61">
        <f t="shared" si="6"/>
        <v>3.0828516377649325E-2</v>
      </c>
      <c r="AC20" s="61">
        <f t="shared" si="6"/>
        <v>1.5138772077375946E-2</v>
      </c>
      <c r="AD20" s="61">
        <f t="shared" si="6"/>
        <v>1.4925373134328358E-2</v>
      </c>
      <c r="AE20" s="61">
        <f t="shared" si="6"/>
        <v>2.960969044414536E-2</v>
      </c>
      <c r="AF20" s="61">
        <f t="shared" si="6"/>
        <v>2.9411764705882356E-2</v>
      </c>
      <c r="AG20" s="61">
        <f t="shared" si="6"/>
        <v>4.3993231810490696E-2</v>
      </c>
      <c r="AH20" s="61">
        <f t="shared" si="6"/>
        <v>4.3887147335423204E-2</v>
      </c>
      <c r="AI20" s="75">
        <f t="shared" si="6"/>
        <v>2.9197080291970809E-2</v>
      </c>
      <c r="AJ20" s="75">
        <f t="shared" si="6"/>
        <v>2.914389799635702E-2</v>
      </c>
      <c r="AK20" s="61"/>
      <c r="AL20" s="61"/>
      <c r="AM20" s="61"/>
      <c r="AN20" s="61"/>
      <c r="AO20" s="61"/>
      <c r="AP20" s="61"/>
    </row>
    <row r="21" spans="1:42" x14ac:dyDescent="0.2">
      <c r="A21" s="6" t="s">
        <v>159</v>
      </c>
      <c r="C21" s="12"/>
      <c r="D21" s="12" t="e">
        <f t="shared" ref="D21:AJ21" si="7">D14*2</f>
        <v>#DIV/0!</v>
      </c>
      <c r="E21" s="12">
        <f t="shared" si="7"/>
        <v>0.32653061224489793</v>
      </c>
      <c r="F21" s="12">
        <f t="shared" si="7"/>
        <v>0.16326530612244897</v>
      </c>
      <c r="G21" s="12">
        <f t="shared" si="7"/>
        <v>0.12244897959183672</v>
      </c>
      <c r="H21" s="12">
        <f t="shared" si="7"/>
        <v>0.12244897959183672</v>
      </c>
      <c r="I21" s="12">
        <f t="shared" si="7"/>
        <v>-3.7037037037037035E-2</v>
      </c>
      <c r="J21" s="12">
        <f t="shared" si="7"/>
        <v>-3.3898305084745763E-2</v>
      </c>
      <c r="K21" s="12">
        <f t="shared" si="7"/>
        <v>4.49438202247191E-2</v>
      </c>
      <c r="L21" s="12">
        <f t="shared" si="7"/>
        <v>3.3613445378151259E-2</v>
      </c>
      <c r="M21" s="12">
        <f t="shared" si="7"/>
        <v>1.6129032258064516E-2</v>
      </c>
      <c r="N21" s="12">
        <f t="shared" si="7"/>
        <v>1.5503875968992248E-2</v>
      </c>
      <c r="O21" s="12">
        <f t="shared" si="7"/>
        <v>-4.8582995951416998E-2</v>
      </c>
      <c r="P21" s="12">
        <f t="shared" si="7"/>
        <v>-5.084745762711864E-2</v>
      </c>
      <c r="Q21" s="12">
        <f t="shared" si="7"/>
        <v>-0.12727272727272726</v>
      </c>
      <c r="R21" s="12">
        <f t="shared" si="7"/>
        <v>-0.13725490196078433</v>
      </c>
      <c r="S21" s="12">
        <f t="shared" si="7"/>
        <v>1.8018018018018018E-2</v>
      </c>
      <c r="T21" s="12">
        <f t="shared" si="7"/>
        <v>1.6666666666666666E-2</v>
      </c>
      <c r="U21" s="12">
        <f t="shared" si="7"/>
        <v>-5.106382978723404E-2</v>
      </c>
      <c r="V21" s="61">
        <f t="shared" si="7"/>
        <v>-5.2173913043478258E-2</v>
      </c>
      <c r="W21" s="61">
        <f t="shared" si="7"/>
        <v>3.4782608695652174E-2</v>
      </c>
      <c r="X21" s="61">
        <f t="shared" si="7"/>
        <v>3.4782608695652174E-2</v>
      </c>
      <c r="Y21" s="61">
        <f t="shared" si="7"/>
        <v>4.9586776859504134E-2</v>
      </c>
      <c r="Z21" s="61">
        <f t="shared" si="7"/>
        <v>4.8000000000000001E-2</v>
      </c>
      <c r="AA21" s="61">
        <f t="shared" si="7"/>
        <v>1.5659955257270694E-2</v>
      </c>
      <c r="AB21" s="61">
        <f t="shared" si="7"/>
        <v>1.5414258188824663E-2</v>
      </c>
      <c r="AC21" s="61">
        <f t="shared" si="7"/>
        <v>1.5138772077375946E-2</v>
      </c>
      <c r="AD21" s="61">
        <f t="shared" si="7"/>
        <v>1.4925373134328358E-2</v>
      </c>
      <c r="AE21" s="61">
        <f t="shared" si="7"/>
        <v>1.480484522207268E-2</v>
      </c>
      <c r="AF21" s="61">
        <f t="shared" si="7"/>
        <v>1.4705882352941178E-2</v>
      </c>
      <c r="AG21" s="61">
        <f t="shared" si="7"/>
        <v>4.3993231810490696E-2</v>
      </c>
      <c r="AH21" s="61">
        <f t="shared" si="7"/>
        <v>4.3887147335423204E-2</v>
      </c>
      <c r="AI21" s="75">
        <f t="shared" si="7"/>
        <v>2.9197080291970809E-2</v>
      </c>
      <c r="AJ21" s="75">
        <f t="shared" si="7"/>
        <v>2.914389799635702E-2</v>
      </c>
      <c r="AK21" s="61"/>
      <c r="AL21" s="61"/>
      <c r="AM21" s="61"/>
      <c r="AN21" s="61"/>
      <c r="AO21" s="61"/>
      <c r="AP21" s="61"/>
    </row>
    <row r="22" spans="1:42" x14ac:dyDescent="0.2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</row>
    <row r="23" spans="1:42" x14ac:dyDescent="0.2">
      <c r="A23" s="6" t="s">
        <v>160</v>
      </c>
      <c r="D23" s="12">
        <f t="shared" ref="D23:AJ23" si="8">D16*2</f>
        <v>1.142857142857143</v>
      </c>
      <c r="E23" s="12">
        <f t="shared" si="8"/>
        <v>0.88888888888888895</v>
      </c>
      <c r="F23" s="12">
        <f t="shared" si="8"/>
        <v>0.44444444444444448</v>
      </c>
      <c r="G23" s="12">
        <f t="shared" si="8"/>
        <v>0.38095238095238093</v>
      </c>
      <c r="H23" s="12">
        <f t="shared" si="8"/>
        <v>0.33333333333333337</v>
      </c>
      <c r="I23" s="12">
        <f t="shared" si="8"/>
        <v>-6.6666666666666666E-2</v>
      </c>
      <c r="J23" s="12">
        <f t="shared" si="8"/>
        <v>-5.5555555555555559E-2</v>
      </c>
      <c r="K23" s="12">
        <f t="shared" si="8"/>
        <v>6.6115702479338845E-2</v>
      </c>
      <c r="L23" s="12">
        <f t="shared" si="8"/>
        <v>4.7058823529411764E-2</v>
      </c>
      <c r="M23" s="12">
        <f t="shared" si="8"/>
        <v>2.3121387283236993E-2</v>
      </c>
      <c r="N23" s="12">
        <f t="shared" si="8"/>
        <v>2.2727272727272728E-2</v>
      </c>
      <c r="O23" s="12">
        <f t="shared" si="8"/>
        <v>-7.0588235294117646E-2</v>
      </c>
      <c r="P23" s="12">
        <f t="shared" si="8"/>
        <v>-7.3170731707317083E-2</v>
      </c>
      <c r="Q23" s="12">
        <f t="shared" si="8"/>
        <v>-0.18666666666666665</v>
      </c>
      <c r="R23" s="12">
        <f t="shared" si="8"/>
        <v>-0.20588235294117646</v>
      </c>
      <c r="S23" s="12">
        <f t="shared" si="8"/>
        <v>2.8985507246376812E-2</v>
      </c>
      <c r="T23" s="12">
        <f t="shared" si="8"/>
        <v>2.8571428571428574E-2</v>
      </c>
      <c r="U23" s="12">
        <f t="shared" si="8"/>
        <v>-5.9259259259259262E-2</v>
      </c>
      <c r="V23" s="61">
        <f t="shared" si="8"/>
        <v>-6.1538461538461542E-2</v>
      </c>
      <c r="W23" s="61">
        <f t="shared" si="8"/>
        <v>6.0606060606060608E-2</v>
      </c>
      <c r="X23" s="61">
        <f t="shared" si="8"/>
        <v>6.0150375939849621E-2</v>
      </c>
      <c r="Y23" s="61">
        <f t="shared" si="8"/>
        <v>8.8495575221238937E-2</v>
      </c>
      <c r="Z23" s="61">
        <f t="shared" si="8"/>
        <v>8.7378640776699032E-2</v>
      </c>
      <c r="AA23" s="61">
        <f t="shared" si="8"/>
        <v>5.7377049180327877E-2</v>
      </c>
      <c r="AB23" s="61">
        <f t="shared" si="8"/>
        <v>5.6737588652482275E-2</v>
      </c>
      <c r="AC23" s="61">
        <f t="shared" si="8"/>
        <v>2.8081123244929802E-2</v>
      </c>
      <c r="AD23" s="61">
        <f t="shared" si="8"/>
        <v>2.7855153203342621E-2</v>
      </c>
      <c r="AE23" s="61">
        <f t="shared" si="8"/>
        <v>5.5137844611528833E-2</v>
      </c>
      <c r="AF23" s="61">
        <f t="shared" si="8"/>
        <v>5.4669703872437365E-2</v>
      </c>
      <c r="AG23" s="61">
        <f t="shared" si="8"/>
        <v>8.0912863070539423E-2</v>
      </c>
      <c r="AH23" s="61">
        <f t="shared" si="8"/>
        <v>0.08</v>
      </c>
      <c r="AI23" s="61">
        <f t="shared" si="8"/>
        <v>5.2310374891020063E-2</v>
      </c>
      <c r="AJ23" s="61">
        <f t="shared" si="8"/>
        <v>5.1446945337620585E-2</v>
      </c>
      <c r="AK23" s="61"/>
      <c r="AL23" s="61"/>
      <c r="AM23" s="61"/>
      <c r="AN23" s="61"/>
      <c r="AO23" s="61"/>
      <c r="AP23" s="61"/>
    </row>
    <row r="24" spans="1:42" x14ac:dyDescent="0.2">
      <c r="A24" s="6" t="s">
        <v>161</v>
      </c>
      <c r="D24" s="12">
        <f t="shared" ref="D24:AJ24" si="9">D17*2</f>
        <v>0.57142857142857151</v>
      </c>
      <c r="E24" s="12">
        <f t="shared" si="9"/>
        <v>0.88888888888888895</v>
      </c>
      <c r="F24" s="12">
        <f t="shared" si="9"/>
        <v>0.44444444444444448</v>
      </c>
      <c r="G24" s="12">
        <f t="shared" si="9"/>
        <v>0.2857142857142857</v>
      </c>
      <c r="H24" s="12">
        <f t="shared" si="9"/>
        <v>0.25</v>
      </c>
      <c r="I24" s="12">
        <f t="shared" si="9"/>
        <v>-6.6666666666666666E-2</v>
      </c>
      <c r="J24" s="12">
        <f t="shared" si="9"/>
        <v>-5.5555555555555559E-2</v>
      </c>
      <c r="K24" s="12">
        <f t="shared" si="9"/>
        <v>6.6115702479338845E-2</v>
      </c>
      <c r="L24" s="12">
        <f t="shared" si="9"/>
        <v>4.7058823529411764E-2</v>
      </c>
      <c r="M24" s="12">
        <f t="shared" si="9"/>
        <v>2.3121387283236993E-2</v>
      </c>
      <c r="N24" s="12">
        <f t="shared" si="9"/>
        <v>2.2727272727272728E-2</v>
      </c>
      <c r="O24" s="12">
        <f t="shared" si="9"/>
        <v>-7.0588235294117646E-2</v>
      </c>
      <c r="P24" s="12">
        <f t="shared" si="9"/>
        <v>-7.3170731707317083E-2</v>
      </c>
      <c r="Q24" s="12">
        <f t="shared" si="9"/>
        <v>-0.18666666666666665</v>
      </c>
      <c r="R24" s="12">
        <f t="shared" si="9"/>
        <v>-0.20588235294117646</v>
      </c>
      <c r="S24" s="12">
        <f t="shared" si="9"/>
        <v>2.8985507246376812E-2</v>
      </c>
      <c r="T24" s="12">
        <f t="shared" si="9"/>
        <v>2.8571428571428574E-2</v>
      </c>
      <c r="U24" s="12">
        <f t="shared" si="9"/>
        <v>-8.8888888888888892E-2</v>
      </c>
      <c r="V24" s="61">
        <f t="shared" si="9"/>
        <v>-9.2307692307692299E-2</v>
      </c>
      <c r="W24" s="61">
        <f t="shared" si="9"/>
        <v>6.0606060606060608E-2</v>
      </c>
      <c r="X24" s="61">
        <f t="shared" si="9"/>
        <v>6.0150375939849621E-2</v>
      </c>
      <c r="Y24" s="61">
        <f t="shared" si="9"/>
        <v>8.8495575221238937E-2</v>
      </c>
      <c r="Z24" s="61">
        <f t="shared" si="9"/>
        <v>8.7378640776699032E-2</v>
      </c>
      <c r="AA24" s="61">
        <f t="shared" si="9"/>
        <v>2.8688524590163939E-2</v>
      </c>
      <c r="AB24" s="61">
        <f t="shared" si="9"/>
        <v>2.8368794326241138E-2</v>
      </c>
      <c r="AC24" s="61">
        <f t="shared" si="9"/>
        <v>2.8081123244929802E-2</v>
      </c>
      <c r="AD24" s="61">
        <f t="shared" si="9"/>
        <v>2.7855153203342621E-2</v>
      </c>
      <c r="AE24" s="61">
        <f t="shared" si="9"/>
        <v>2.7568922305764416E-2</v>
      </c>
      <c r="AF24" s="61">
        <f t="shared" si="9"/>
        <v>2.7334851936218683E-2</v>
      </c>
      <c r="AG24" s="61">
        <f t="shared" si="9"/>
        <v>8.0912863070539423E-2</v>
      </c>
      <c r="AH24" s="61">
        <f t="shared" si="9"/>
        <v>0.08</v>
      </c>
      <c r="AI24" s="61">
        <f t="shared" si="9"/>
        <v>5.2310374891020063E-2</v>
      </c>
      <c r="AJ24" s="61">
        <f t="shared" si="9"/>
        <v>5.1446945337620585E-2</v>
      </c>
      <c r="AK24" s="61"/>
      <c r="AL24" s="61"/>
      <c r="AM24" s="61"/>
      <c r="AN24" s="61"/>
      <c r="AO24" s="61"/>
      <c r="AP24" s="61"/>
    </row>
    <row r="25" spans="1:42" ht="15" customHeight="1" x14ac:dyDescent="0.25">
      <c r="A25" s="16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</row>
    <row r="26" spans="1:42" ht="15" customHeight="1" x14ac:dyDescent="0.25">
      <c r="A26" s="16" t="s">
        <v>163</v>
      </c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</row>
    <row r="27" spans="1:42" x14ac:dyDescent="0.2">
      <c r="A27" s="6" t="s">
        <v>158</v>
      </c>
      <c r="C27" s="12"/>
      <c r="D27" s="12"/>
      <c r="E27" s="12"/>
      <c r="F27" s="12"/>
      <c r="G27" s="51">
        <f t="shared" ref="G27:AJ27" si="10">SUM(F9:G9)/AVERAGE(E2,G2)</f>
        <v>0.16326530612244897</v>
      </c>
      <c r="H27" s="51">
        <f t="shared" si="10"/>
        <v>0.16326530612244897</v>
      </c>
      <c r="I27" s="51">
        <f t="shared" si="10"/>
        <v>5.5555555555555559E-2</v>
      </c>
      <c r="J27" s="51">
        <f t="shared" si="10"/>
        <v>-3.7037037037037035E-2</v>
      </c>
      <c r="K27" s="51">
        <f t="shared" si="10"/>
        <v>1.1235955056179775E-2</v>
      </c>
      <c r="L27" s="51">
        <f t="shared" si="10"/>
        <v>4.49438202247191E-2</v>
      </c>
      <c r="M27" s="51">
        <f t="shared" si="10"/>
        <v>2.4193548387096777E-2</v>
      </c>
      <c r="N27" s="51">
        <f t="shared" si="10"/>
        <v>1.6129032258064516E-2</v>
      </c>
      <c r="O27" s="51">
        <f t="shared" si="10"/>
        <v>-1.6194331983805665E-2</v>
      </c>
      <c r="P27" s="51">
        <f t="shared" si="10"/>
        <v>-4.8582995951416998E-2</v>
      </c>
      <c r="Q27" s="51">
        <f t="shared" si="10"/>
        <v>-9.0909090909090912E-2</v>
      </c>
      <c r="R27" s="51">
        <f t="shared" si="10"/>
        <v>-0.12727272727272726</v>
      </c>
      <c r="S27" s="51">
        <f t="shared" si="10"/>
        <v>-5.4054054054054057E-2</v>
      </c>
      <c r="T27" s="51">
        <f t="shared" si="10"/>
        <v>1.8018018018018018E-2</v>
      </c>
      <c r="U27" s="51">
        <f t="shared" si="10"/>
        <v>-8.5106382978723406E-3</v>
      </c>
      <c r="V27" s="62">
        <f t="shared" si="10"/>
        <v>-3.4042553191489362E-2</v>
      </c>
      <c r="W27" s="62">
        <f t="shared" si="10"/>
        <v>0</v>
      </c>
      <c r="X27" s="62">
        <f t="shared" si="10"/>
        <v>3.4782608695652174E-2</v>
      </c>
      <c r="Y27" s="62">
        <f t="shared" si="10"/>
        <v>3.8461538461538464E-2</v>
      </c>
      <c r="Z27" s="62">
        <f t="shared" si="10"/>
        <v>4.6153846153846149E-2</v>
      </c>
      <c r="AA27" s="62">
        <f t="shared" si="10"/>
        <v>3.4602076124567477E-2</v>
      </c>
      <c r="AB27" s="62">
        <f t="shared" si="10"/>
        <v>2.7681660899653984E-2</v>
      </c>
      <c r="AC27" s="62">
        <f t="shared" si="10"/>
        <v>2.033898305084746E-2</v>
      </c>
      <c r="AD27" s="62">
        <f t="shared" si="10"/>
        <v>1.3559322033898306E-2</v>
      </c>
      <c r="AE27" s="62">
        <f t="shared" si="10"/>
        <v>2.0202020202020207E-2</v>
      </c>
      <c r="AF27" s="62">
        <f t="shared" si="10"/>
        <v>2.6936026936026938E-2</v>
      </c>
      <c r="AG27" s="62">
        <f t="shared" si="10"/>
        <v>3.484320557491289E-2</v>
      </c>
      <c r="AH27" s="62">
        <f t="shared" si="10"/>
        <v>4.1811846689895467E-2</v>
      </c>
      <c r="AI27" s="62">
        <f t="shared" si="10"/>
        <v>3.5460992907801421E-2</v>
      </c>
      <c r="AJ27" s="62">
        <f t="shared" si="10"/>
        <v>2.8368794326241138E-2</v>
      </c>
      <c r="AK27" s="62"/>
      <c r="AL27" s="62"/>
      <c r="AM27" s="62"/>
      <c r="AN27" s="62"/>
      <c r="AO27" s="62"/>
      <c r="AP27" s="62"/>
    </row>
    <row r="28" spans="1:42" x14ac:dyDescent="0.2">
      <c r="A28" s="6" t="s">
        <v>159</v>
      </c>
      <c r="C28" s="12"/>
      <c r="D28" s="12"/>
      <c r="E28" s="12"/>
      <c r="F28" s="12"/>
      <c r="G28" s="12">
        <f t="shared" ref="G28:AJ28" si="11">SUM(F10:G10)/AVERAGE(E2,G2)</f>
        <v>0.14285714285714285</v>
      </c>
      <c r="H28" s="12">
        <f t="shared" si="11"/>
        <v>0.12244897959183672</v>
      </c>
      <c r="I28" s="12">
        <f t="shared" si="11"/>
        <v>3.7037037037037035E-2</v>
      </c>
      <c r="J28" s="12">
        <f t="shared" si="11"/>
        <v>-3.7037037037037035E-2</v>
      </c>
      <c r="K28" s="12">
        <f t="shared" si="11"/>
        <v>1.1235955056179775E-2</v>
      </c>
      <c r="L28" s="12">
        <f t="shared" si="11"/>
        <v>4.49438202247191E-2</v>
      </c>
      <c r="M28" s="12">
        <f t="shared" si="11"/>
        <v>2.4193548387096777E-2</v>
      </c>
      <c r="N28" s="12">
        <f t="shared" si="11"/>
        <v>1.6129032258064516E-2</v>
      </c>
      <c r="O28" s="12">
        <f t="shared" si="11"/>
        <v>-1.6194331983805665E-2</v>
      </c>
      <c r="P28" s="12">
        <f t="shared" si="11"/>
        <v>-4.8582995951416998E-2</v>
      </c>
      <c r="Q28" s="12">
        <f t="shared" si="11"/>
        <v>-9.0909090909090912E-2</v>
      </c>
      <c r="R28" s="12">
        <f t="shared" si="11"/>
        <v>-0.12727272727272726</v>
      </c>
      <c r="S28" s="12">
        <f t="shared" si="11"/>
        <v>-5.4054054054054057E-2</v>
      </c>
      <c r="T28" s="12">
        <f t="shared" si="11"/>
        <v>1.8018018018018018E-2</v>
      </c>
      <c r="U28" s="12">
        <f t="shared" si="11"/>
        <v>-1.7021276595744681E-2</v>
      </c>
      <c r="V28" s="61">
        <f t="shared" si="11"/>
        <v>-5.106382978723404E-2</v>
      </c>
      <c r="W28" s="61">
        <f t="shared" si="11"/>
        <v>-8.6956521739130418E-3</v>
      </c>
      <c r="X28" s="61">
        <f t="shared" si="11"/>
        <v>3.4782608695652174E-2</v>
      </c>
      <c r="Y28" s="61">
        <f t="shared" si="11"/>
        <v>3.8461538461538464E-2</v>
      </c>
      <c r="Z28" s="61">
        <f t="shared" si="11"/>
        <v>4.6153846153846149E-2</v>
      </c>
      <c r="AA28" s="61">
        <f t="shared" si="11"/>
        <v>2.7681660899653984E-2</v>
      </c>
      <c r="AB28" s="61">
        <f t="shared" si="11"/>
        <v>1.3840830449826992E-2</v>
      </c>
      <c r="AC28" s="61">
        <f t="shared" si="11"/>
        <v>1.3559322033898306E-2</v>
      </c>
      <c r="AD28" s="61">
        <f t="shared" si="11"/>
        <v>1.3559322033898306E-2</v>
      </c>
      <c r="AE28" s="61">
        <f t="shared" si="11"/>
        <v>1.3468013468013469E-2</v>
      </c>
      <c r="AF28" s="61">
        <f t="shared" si="11"/>
        <v>1.3468013468013469E-2</v>
      </c>
      <c r="AG28" s="61">
        <f t="shared" si="11"/>
        <v>2.7874564459930317E-2</v>
      </c>
      <c r="AH28" s="61">
        <f t="shared" si="11"/>
        <v>4.1811846689895467E-2</v>
      </c>
      <c r="AI28" s="61">
        <f t="shared" si="11"/>
        <v>3.5460992907801421E-2</v>
      </c>
      <c r="AJ28" s="61">
        <f t="shared" si="11"/>
        <v>2.8368794326241138E-2</v>
      </c>
      <c r="AK28" s="61"/>
      <c r="AL28" s="61"/>
      <c r="AM28" s="61"/>
      <c r="AN28" s="61"/>
      <c r="AO28" s="61"/>
      <c r="AP28" s="61"/>
    </row>
    <row r="29" spans="1:42" x14ac:dyDescent="0.2"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</row>
    <row r="30" spans="1:42" x14ac:dyDescent="0.2">
      <c r="A30" s="6" t="s">
        <v>160</v>
      </c>
      <c r="F30" s="50"/>
      <c r="G30" s="12">
        <f t="shared" ref="G30:AJ30" si="12">SUM(F9:G9)/AVERAGE(E5,G5)</f>
        <v>0.38095238095238093</v>
      </c>
      <c r="H30" s="12">
        <f t="shared" si="12"/>
        <v>0.38095238095238093</v>
      </c>
      <c r="I30" s="12">
        <f t="shared" si="12"/>
        <v>0.10000000000000002</v>
      </c>
      <c r="J30" s="12">
        <f t="shared" si="12"/>
        <v>-6.6666666666666666E-2</v>
      </c>
      <c r="K30" s="12">
        <f t="shared" si="12"/>
        <v>1.6528925619834711E-2</v>
      </c>
      <c r="L30" s="12">
        <f t="shared" si="12"/>
        <v>6.6115702479338845E-2</v>
      </c>
      <c r="M30" s="12">
        <f t="shared" si="12"/>
        <v>3.4682080924855495E-2</v>
      </c>
      <c r="N30" s="12">
        <f t="shared" si="12"/>
        <v>2.3121387283236993E-2</v>
      </c>
      <c r="O30" s="12">
        <f t="shared" si="12"/>
        <v>-2.3529411764705882E-2</v>
      </c>
      <c r="P30" s="12">
        <f t="shared" si="12"/>
        <v>-7.0588235294117646E-2</v>
      </c>
      <c r="Q30" s="12">
        <f t="shared" si="12"/>
        <v>-0.13333333333333333</v>
      </c>
      <c r="R30" s="12">
        <f t="shared" si="12"/>
        <v>-0.18666666666666665</v>
      </c>
      <c r="S30" s="12">
        <f t="shared" si="12"/>
        <v>-8.6956521739130432E-2</v>
      </c>
      <c r="T30" s="12">
        <f t="shared" si="12"/>
        <v>2.8985507246376812E-2</v>
      </c>
      <c r="U30" s="12">
        <f t="shared" si="12"/>
        <v>-1.4814814814814815E-2</v>
      </c>
      <c r="V30" s="61">
        <f t="shared" si="12"/>
        <v>-5.9259259259259262E-2</v>
      </c>
      <c r="W30" s="61">
        <f t="shared" si="12"/>
        <v>0</v>
      </c>
      <c r="X30" s="61">
        <f t="shared" si="12"/>
        <v>6.0150375939849621E-2</v>
      </c>
      <c r="Y30" s="61">
        <f t="shared" si="12"/>
        <v>7.0921985815602842E-2</v>
      </c>
      <c r="Z30" s="61">
        <f t="shared" si="12"/>
        <v>8.5106382978723402E-2</v>
      </c>
      <c r="AA30" s="61">
        <f t="shared" si="12"/>
        <v>6.7114093959731544E-2</v>
      </c>
      <c r="AB30" s="61">
        <f t="shared" si="12"/>
        <v>5.3691275167785241E-2</v>
      </c>
      <c r="AC30" s="61">
        <f t="shared" si="12"/>
        <v>3.921568627450981E-2</v>
      </c>
      <c r="AD30" s="61">
        <f t="shared" si="12"/>
        <v>2.6143790849673203E-2</v>
      </c>
      <c r="AE30" s="61">
        <f t="shared" si="12"/>
        <v>3.8216560509554146E-2</v>
      </c>
      <c r="AF30" s="61">
        <f t="shared" si="12"/>
        <v>5.0955414012738856E-2</v>
      </c>
      <c r="AG30" s="61">
        <f t="shared" si="12"/>
        <v>6.0240963855421679E-2</v>
      </c>
      <c r="AH30" s="61">
        <f t="shared" si="12"/>
        <v>7.2289156626506021E-2</v>
      </c>
      <c r="AI30" s="61">
        <f t="shared" si="12"/>
        <v>5.4644808743169404E-2</v>
      </c>
      <c r="AJ30" s="61">
        <f t="shared" si="12"/>
        <v>4.3715846994535526E-2</v>
      </c>
      <c r="AK30" s="61"/>
      <c r="AL30" s="61"/>
      <c r="AM30" s="61"/>
      <c r="AN30" s="61"/>
      <c r="AO30" s="61"/>
      <c r="AP30" s="61"/>
    </row>
    <row r="31" spans="1:42" x14ac:dyDescent="0.2">
      <c r="A31" s="6" t="s">
        <v>161</v>
      </c>
      <c r="G31" s="12">
        <f t="shared" ref="G31:AJ31" si="13">SUM(F10:G10)/AVERAGE(E5,G5)</f>
        <v>0.33333333333333331</v>
      </c>
      <c r="H31" s="12">
        <f t="shared" si="13"/>
        <v>0.2857142857142857</v>
      </c>
      <c r="I31" s="12">
        <f t="shared" si="13"/>
        <v>6.6666666666666666E-2</v>
      </c>
      <c r="J31" s="12">
        <f t="shared" si="13"/>
        <v>-6.6666666666666666E-2</v>
      </c>
      <c r="K31" s="12">
        <f t="shared" si="13"/>
        <v>1.6528925619834711E-2</v>
      </c>
      <c r="L31" s="12">
        <f t="shared" si="13"/>
        <v>6.6115702479338845E-2</v>
      </c>
      <c r="M31" s="12">
        <f t="shared" si="13"/>
        <v>3.4682080924855495E-2</v>
      </c>
      <c r="N31" s="12">
        <f t="shared" si="13"/>
        <v>2.3121387283236993E-2</v>
      </c>
      <c r="O31" s="12">
        <f t="shared" si="13"/>
        <v>-2.3529411764705882E-2</v>
      </c>
      <c r="P31" s="12">
        <f t="shared" si="13"/>
        <v>-7.0588235294117646E-2</v>
      </c>
      <c r="Q31" s="12">
        <f t="shared" si="13"/>
        <v>-0.13333333333333333</v>
      </c>
      <c r="R31" s="12">
        <f t="shared" si="13"/>
        <v>-0.18666666666666665</v>
      </c>
      <c r="S31" s="12">
        <f t="shared" si="13"/>
        <v>-8.6956521739130432E-2</v>
      </c>
      <c r="T31" s="12">
        <f t="shared" si="13"/>
        <v>2.8985507246376812E-2</v>
      </c>
      <c r="U31" s="12">
        <f t="shared" si="13"/>
        <v>-2.9629629629629627E-2</v>
      </c>
      <c r="V31" s="61">
        <f t="shared" si="13"/>
        <v>-8.8888888888888892E-2</v>
      </c>
      <c r="W31" s="61">
        <f t="shared" si="13"/>
        <v>-1.5037593984962402E-2</v>
      </c>
      <c r="X31" s="61">
        <f t="shared" si="13"/>
        <v>6.0150375939849621E-2</v>
      </c>
      <c r="Y31" s="61">
        <f t="shared" si="13"/>
        <v>7.0921985815602842E-2</v>
      </c>
      <c r="Z31" s="61">
        <f t="shared" si="13"/>
        <v>8.5106382978723402E-2</v>
      </c>
      <c r="AA31" s="61">
        <f t="shared" si="13"/>
        <v>5.3691275167785241E-2</v>
      </c>
      <c r="AB31" s="61">
        <f t="shared" si="13"/>
        <v>2.684563758389262E-2</v>
      </c>
      <c r="AC31" s="61">
        <f t="shared" si="13"/>
        <v>2.6143790849673203E-2</v>
      </c>
      <c r="AD31" s="61">
        <f t="shared" si="13"/>
        <v>2.6143790849673203E-2</v>
      </c>
      <c r="AE31" s="61">
        <f t="shared" si="13"/>
        <v>2.5477707006369428E-2</v>
      </c>
      <c r="AF31" s="61">
        <f t="shared" si="13"/>
        <v>2.5477707006369428E-2</v>
      </c>
      <c r="AG31" s="61">
        <f t="shared" si="13"/>
        <v>4.8192771084337345E-2</v>
      </c>
      <c r="AH31" s="61">
        <f t="shared" si="13"/>
        <v>7.2289156626506021E-2</v>
      </c>
      <c r="AI31" s="61">
        <f t="shared" si="13"/>
        <v>5.4644808743169404E-2</v>
      </c>
      <c r="AJ31" s="61">
        <f t="shared" si="13"/>
        <v>4.3715846994535526E-2</v>
      </c>
      <c r="AK31" s="61"/>
      <c r="AL31" s="61"/>
      <c r="AM31" s="61"/>
      <c r="AN31" s="61"/>
      <c r="AO31" s="61"/>
      <c r="AP31" s="61"/>
    </row>
    <row r="32" spans="1:42" x14ac:dyDescent="0.2"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</row>
    <row r="33" spans="1:42" x14ac:dyDescent="0.2">
      <c r="A33" s="6" t="s">
        <v>164</v>
      </c>
      <c r="C33" s="9"/>
      <c r="D33" s="9" t="e">
        <f t="shared" ref="D33:AJ33" si="14">D8*4/D3</f>
        <v>#DIV/0!</v>
      </c>
      <c r="E33" s="9">
        <f t="shared" si="14"/>
        <v>2.2857142857142856</v>
      </c>
      <c r="F33" s="9">
        <f t="shared" si="14"/>
        <v>1.1428571428571428</v>
      </c>
      <c r="G33" s="9">
        <f t="shared" si="14"/>
        <v>1.3877551020408161</v>
      </c>
      <c r="H33" s="9">
        <f t="shared" si="14"/>
        <v>1.3877551020408161</v>
      </c>
      <c r="I33" s="9">
        <f t="shared" si="14"/>
        <v>1.1851851851851851</v>
      </c>
      <c r="J33" s="9">
        <f t="shared" si="14"/>
        <v>1.0847457627118644</v>
      </c>
      <c r="K33" s="9">
        <f t="shared" si="14"/>
        <v>0.8539325842696629</v>
      </c>
      <c r="L33" s="9">
        <f t="shared" si="14"/>
        <v>0.6386554621848739</v>
      </c>
      <c r="M33" s="9">
        <f t="shared" si="14"/>
        <v>0.64516129032258063</v>
      </c>
      <c r="N33" s="9">
        <f t="shared" si="14"/>
        <v>0.62015503875968991</v>
      </c>
      <c r="O33" s="9">
        <f t="shared" si="14"/>
        <v>0.291497975708502</v>
      </c>
      <c r="P33" s="9">
        <f t="shared" si="14"/>
        <v>0.30508474576271183</v>
      </c>
      <c r="Q33" s="9">
        <f t="shared" si="14"/>
        <v>0.43636363636363634</v>
      </c>
      <c r="R33" s="9">
        <f t="shared" si="14"/>
        <v>0.47058823529411764</v>
      </c>
      <c r="S33" s="9">
        <f t="shared" si="14"/>
        <v>0.46846846846846851</v>
      </c>
      <c r="T33" s="9">
        <f t="shared" si="14"/>
        <v>0.43333333333333335</v>
      </c>
      <c r="U33" s="9">
        <f t="shared" si="14"/>
        <v>0.44255319148936173</v>
      </c>
      <c r="V33" s="63">
        <f t="shared" si="14"/>
        <v>0.45217391304347826</v>
      </c>
      <c r="W33" s="63">
        <f t="shared" si="14"/>
        <v>0.59130434782608698</v>
      </c>
      <c r="X33" s="63">
        <f t="shared" si="14"/>
        <v>0.59130434782608698</v>
      </c>
      <c r="Y33" s="63">
        <f t="shared" si="14"/>
        <v>0.89256198347107452</v>
      </c>
      <c r="Z33" s="63">
        <f t="shared" si="14"/>
        <v>0.8640000000000001</v>
      </c>
      <c r="AA33" s="63">
        <f t="shared" si="14"/>
        <v>0.78299776286353462</v>
      </c>
      <c r="AB33" s="63">
        <f t="shared" si="14"/>
        <v>0.77071290944123305</v>
      </c>
      <c r="AC33" s="63">
        <f t="shared" si="14"/>
        <v>0.90832632464255669</v>
      </c>
      <c r="AD33" s="63">
        <f t="shared" si="14"/>
        <v>0.89552238805970152</v>
      </c>
      <c r="AE33" s="63">
        <f t="shared" si="14"/>
        <v>0.740242261103634</v>
      </c>
      <c r="AF33" s="63">
        <f t="shared" si="14"/>
        <v>0.73529411764705888</v>
      </c>
      <c r="AG33" s="63">
        <f t="shared" si="14"/>
        <v>0.9678510998307952</v>
      </c>
      <c r="AH33" s="63">
        <f t="shared" si="14"/>
        <v>0.9655172413793105</v>
      </c>
      <c r="AI33" s="63">
        <f t="shared" si="14"/>
        <v>0.81751824817518259</v>
      </c>
      <c r="AJ33" s="63">
        <f t="shared" si="14"/>
        <v>0.81602914389799641</v>
      </c>
      <c r="AK33" s="63"/>
      <c r="AL33" s="63"/>
      <c r="AM33" s="63"/>
      <c r="AN33" s="63"/>
      <c r="AO33" s="63"/>
      <c r="AP33" s="63"/>
    </row>
  </sheetData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selection activeCell="H11" sqref="A2:H11"/>
    </sheetView>
  </sheetViews>
  <sheetFormatPr defaultColWidth="20.7109375" defaultRowHeight="15" x14ac:dyDescent="0.25"/>
  <cols>
    <col min="1" max="1" width="30.7109375" customWidth="1"/>
    <col min="2" max="2" width="50.7109375" customWidth="1"/>
    <col min="3" max="6" width="12.7109375" customWidth="1"/>
  </cols>
  <sheetData>
    <row r="1" spans="1:7" x14ac:dyDescent="0.25">
      <c r="A1" s="31" t="s">
        <v>165</v>
      </c>
      <c r="B1" s="31" t="s">
        <v>166</v>
      </c>
      <c r="C1" s="31" t="s">
        <v>167</v>
      </c>
      <c r="D1" s="31" t="s">
        <v>168</v>
      </c>
      <c r="E1" s="31" t="s">
        <v>169</v>
      </c>
      <c r="F1" s="31" t="s">
        <v>170</v>
      </c>
    </row>
    <row r="2" spans="1:7" x14ac:dyDescent="0.25">
      <c r="A2" s="42"/>
      <c r="B2" s="42"/>
      <c r="C2" s="43"/>
      <c r="D2" s="43"/>
      <c r="E2" s="44"/>
      <c r="F2" s="45"/>
      <c r="G2" s="5"/>
    </row>
    <row r="3" spans="1:7" x14ac:dyDescent="0.25">
      <c r="A3" s="45"/>
      <c r="B3" s="45"/>
      <c r="C3" s="46"/>
      <c r="D3" s="46"/>
      <c r="E3" s="47"/>
      <c r="F3" s="47"/>
      <c r="G3" s="5"/>
    </row>
    <row r="4" spans="1:7" x14ac:dyDescent="0.25">
      <c r="A4" s="45"/>
      <c r="B4" s="45"/>
      <c r="C4" s="46"/>
      <c r="D4" s="46"/>
      <c r="E4" s="47"/>
      <c r="F4" s="47"/>
      <c r="G4" s="5"/>
    </row>
    <row r="5" spans="1:7" x14ac:dyDescent="0.25">
      <c r="A5" s="45"/>
      <c r="B5" s="45"/>
      <c r="C5" s="46"/>
      <c r="D5" s="46"/>
      <c r="E5" s="47"/>
      <c r="F5" s="47"/>
      <c r="G5" s="5"/>
    </row>
    <row r="6" spans="1:7" x14ac:dyDescent="0.25">
      <c r="A6" s="2"/>
      <c r="B6" s="2"/>
      <c r="C6" s="3"/>
      <c r="D6" s="3"/>
      <c r="E6" s="39"/>
      <c r="F6" s="5"/>
      <c r="G6" s="5"/>
    </row>
    <row r="7" spans="1:7" x14ac:dyDescent="0.25">
      <c r="E7" s="30"/>
    </row>
    <row r="8" spans="1:7" x14ac:dyDescent="0.25">
      <c r="C8" s="1"/>
      <c r="D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C1:AQ48"/>
  <sheetViews>
    <sheetView showGridLines="0" topLeftCell="V4" workbookViewId="0">
      <selection activeCell="AK32" sqref="AK32"/>
    </sheetView>
  </sheetViews>
  <sheetFormatPr defaultColWidth="15" defaultRowHeight="15" customHeight="1" x14ac:dyDescent="0.25"/>
  <cols>
    <col min="1" max="2" width="2" customWidth="1"/>
    <col min="3" max="3" width="25" customWidth="1"/>
  </cols>
  <sheetData>
    <row r="1" spans="3:43" ht="13.5" customHeight="1" x14ac:dyDescent="0.25"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</row>
    <row r="2" spans="3:43" ht="33" customHeight="1" x14ac:dyDescent="0.4">
      <c r="C2" s="77" t="s">
        <v>171</v>
      </c>
      <c r="D2" s="78"/>
      <c r="E2" s="78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</row>
    <row r="3" spans="3:43" x14ac:dyDescent="0.25">
      <c r="C3" s="71" t="s">
        <v>172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3:43" ht="15" customHeight="1" x14ac:dyDescent="0.25"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</row>
    <row r="5" spans="3:43" ht="15" customHeight="1" x14ac:dyDescent="0.25"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3:43" x14ac:dyDescent="0.25">
      <c r="C6" s="79" t="s">
        <v>173</v>
      </c>
      <c r="D6" s="78"/>
      <c r="E6" s="70"/>
      <c r="F6" s="70"/>
      <c r="G6" s="70"/>
      <c r="H6" s="70"/>
      <c r="I6" s="70"/>
      <c r="J6" s="70"/>
      <c r="K6" s="70"/>
      <c r="L6" s="70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3:43" ht="15" customHeight="1" x14ac:dyDescent="0.25"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</row>
    <row r="8" spans="3:43" ht="33" customHeight="1" x14ac:dyDescent="0.25">
      <c r="C8" s="72"/>
      <c r="D8" s="72" t="s">
        <v>174</v>
      </c>
      <c r="E8" s="72" t="s">
        <v>175</v>
      </c>
      <c r="F8" s="72" t="s">
        <v>176</v>
      </c>
      <c r="G8" s="72" t="s">
        <v>177</v>
      </c>
      <c r="H8" s="72" t="s">
        <v>178</v>
      </c>
      <c r="I8" s="72" t="s">
        <v>179</v>
      </c>
      <c r="J8" s="72" t="s">
        <v>180</v>
      </c>
      <c r="K8" s="72" t="s">
        <v>181</v>
      </c>
      <c r="L8" s="72" t="s">
        <v>182</v>
      </c>
      <c r="M8" s="72" t="s">
        <v>183</v>
      </c>
      <c r="N8" s="72" t="s">
        <v>184</v>
      </c>
      <c r="O8" s="72" t="s">
        <v>185</v>
      </c>
      <c r="P8" s="72" t="s">
        <v>186</v>
      </c>
      <c r="Q8" s="72" t="s">
        <v>187</v>
      </c>
      <c r="R8" s="72" t="s">
        <v>188</v>
      </c>
      <c r="S8" s="72" t="s">
        <v>189</v>
      </c>
      <c r="T8" s="72" t="s">
        <v>190</v>
      </c>
      <c r="U8" s="72" t="s">
        <v>191</v>
      </c>
      <c r="V8" s="72" t="s">
        <v>192</v>
      </c>
      <c r="W8" s="72" t="s">
        <v>193</v>
      </c>
      <c r="X8" s="72" t="s">
        <v>194</v>
      </c>
      <c r="Y8" s="72" t="s">
        <v>195</v>
      </c>
      <c r="Z8" s="72" t="s">
        <v>196</v>
      </c>
      <c r="AA8" s="72" t="s">
        <v>197</v>
      </c>
      <c r="AB8" s="72" t="s">
        <v>198</v>
      </c>
      <c r="AC8" s="72" t="s">
        <v>199</v>
      </c>
      <c r="AD8" s="72" t="s">
        <v>200</v>
      </c>
      <c r="AE8" s="72" t="s">
        <v>201</v>
      </c>
      <c r="AF8" s="72" t="s">
        <v>202</v>
      </c>
      <c r="AG8" s="72" t="s">
        <v>203</v>
      </c>
      <c r="AH8" s="72" t="s">
        <v>204</v>
      </c>
      <c r="AI8" s="72" t="s">
        <v>205</v>
      </c>
      <c r="AJ8" s="72" t="s">
        <v>206</v>
      </c>
      <c r="AK8" s="72" t="s">
        <v>207</v>
      </c>
      <c r="AL8" s="72"/>
      <c r="AM8" s="72"/>
      <c r="AN8" s="72"/>
      <c r="AO8" s="72"/>
      <c r="AP8" s="72"/>
      <c r="AQ8" s="72"/>
    </row>
    <row r="9" spans="3:43" ht="15" customHeight="1" x14ac:dyDescent="0.25"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</row>
    <row r="10" spans="3:43" x14ac:dyDescent="0.25">
      <c r="C10" s="72" t="s">
        <v>208</v>
      </c>
      <c r="D10" s="72" t="s">
        <v>15</v>
      </c>
      <c r="E10" s="72" t="s">
        <v>16</v>
      </c>
      <c r="F10" s="72" t="s">
        <v>17</v>
      </c>
      <c r="G10" s="72" t="s">
        <v>18</v>
      </c>
      <c r="H10" s="72" t="s">
        <v>19</v>
      </c>
      <c r="I10" s="72" t="s">
        <v>20</v>
      </c>
      <c r="J10" s="72" t="s">
        <v>21</v>
      </c>
      <c r="K10" s="72" t="s">
        <v>22</v>
      </c>
      <c r="L10" s="72" t="s">
        <v>23</v>
      </c>
      <c r="M10" s="72" t="s">
        <v>24</v>
      </c>
      <c r="N10" s="72" t="s">
        <v>25</v>
      </c>
      <c r="O10" s="72" t="s">
        <v>26</v>
      </c>
      <c r="P10" s="72" t="s">
        <v>27</v>
      </c>
      <c r="Q10" s="72" t="s">
        <v>28</v>
      </c>
      <c r="R10" s="72" t="s">
        <v>29</v>
      </c>
      <c r="S10" s="72" t="s">
        <v>30</v>
      </c>
      <c r="T10" s="72" t="s">
        <v>31</v>
      </c>
      <c r="U10" s="72" t="s">
        <v>32</v>
      </c>
      <c r="V10" s="72" t="s">
        <v>33</v>
      </c>
      <c r="W10" s="72" t="s">
        <v>34</v>
      </c>
      <c r="X10" s="72" t="s">
        <v>35</v>
      </c>
      <c r="Y10" s="72" t="s">
        <v>36</v>
      </c>
      <c r="Z10" s="72" t="s">
        <v>37</v>
      </c>
      <c r="AA10" s="72" t="s">
        <v>38</v>
      </c>
      <c r="AB10" s="72" t="s">
        <v>39</v>
      </c>
      <c r="AC10" s="72" t="s">
        <v>40</v>
      </c>
      <c r="AD10" s="72" t="s">
        <v>41</v>
      </c>
      <c r="AE10" s="72" t="s">
        <v>42</v>
      </c>
      <c r="AF10" s="72" t="s">
        <v>43</v>
      </c>
      <c r="AG10" s="72" t="s">
        <v>44</v>
      </c>
      <c r="AH10" s="72" t="s">
        <v>45</v>
      </c>
      <c r="AI10" s="72" t="s">
        <v>46</v>
      </c>
      <c r="AJ10" s="72" t="s">
        <v>47</v>
      </c>
      <c r="AK10" s="72" t="s">
        <v>48</v>
      </c>
      <c r="AL10" s="72"/>
      <c r="AM10" s="72"/>
      <c r="AN10" s="72"/>
      <c r="AO10" s="72"/>
      <c r="AP10" s="72"/>
      <c r="AQ10" s="72"/>
    </row>
    <row r="11" spans="3:43" ht="15" customHeight="1" x14ac:dyDescent="0.25"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</row>
    <row r="12" spans="3:43" x14ac:dyDescent="0.25">
      <c r="C12" s="72" t="s">
        <v>209</v>
      </c>
      <c r="D12" s="72">
        <v>1.2</v>
      </c>
      <c r="E12" s="72">
        <v>1.2</v>
      </c>
      <c r="F12" s="72">
        <v>1.4</v>
      </c>
      <c r="G12" s="72">
        <v>1.4</v>
      </c>
      <c r="H12" s="72">
        <v>1.7</v>
      </c>
      <c r="I12" s="72">
        <v>1.7</v>
      </c>
      <c r="J12" s="72">
        <v>1.6</v>
      </c>
      <c r="K12" s="72">
        <v>1.6</v>
      </c>
      <c r="L12" s="72">
        <v>1.9</v>
      </c>
      <c r="M12" s="72">
        <v>1.9</v>
      </c>
      <c r="N12" s="72">
        <v>2</v>
      </c>
      <c r="O12" s="72">
        <v>2</v>
      </c>
      <c r="P12" s="72">
        <v>0.9</v>
      </c>
      <c r="Q12" s="72">
        <v>0.9</v>
      </c>
      <c r="R12" s="72">
        <v>1.2</v>
      </c>
      <c r="S12" s="72">
        <v>1.2</v>
      </c>
      <c r="T12" s="72">
        <v>1.3</v>
      </c>
      <c r="U12" s="72">
        <v>1.3</v>
      </c>
      <c r="V12" s="72">
        <v>1.3</v>
      </c>
      <c r="W12" s="72">
        <v>1.3</v>
      </c>
      <c r="X12" s="72">
        <v>1.7</v>
      </c>
      <c r="Y12" s="72">
        <v>1.7</v>
      </c>
      <c r="Z12" s="72">
        <v>2.7</v>
      </c>
      <c r="AA12" s="72">
        <v>2.7</v>
      </c>
      <c r="AB12" s="72">
        <v>2.5</v>
      </c>
      <c r="AC12" s="72">
        <v>2.5</v>
      </c>
      <c r="AD12" s="72">
        <v>3</v>
      </c>
      <c r="AE12" s="72">
        <v>3</v>
      </c>
      <c r="AF12" s="72">
        <v>2.5</v>
      </c>
      <c r="AG12" s="72">
        <v>2.5</v>
      </c>
      <c r="AH12" s="72">
        <v>3.3</v>
      </c>
      <c r="AI12" s="72">
        <v>3.3</v>
      </c>
      <c r="AJ12" s="72">
        <v>2.8</v>
      </c>
      <c r="AK12" s="72">
        <v>2.8</v>
      </c>
      <c r="AL12" s="72"/>
      <c r="AM12" s="72"/>
      <c r="AN12" s="72"/>
      <c r="AO12" s="72"/>
      <c r="AP12" s="72"/>
      <c r="AQ12" s="72"/>
    </row>
    <row r="13" spans="3:43" x14ac:dyDescent="0.25">
      <c r="C13" s="72" t="s">
        <v>210</v>
      </c>
      <c r="D13" s="72" t="s">
        <v>211</v>
      </c>
      <c r="E13" s="72" t="s">
        <v>211</v>
      </c>
      <c r="F13" s="72" t="s">
        <v>211</v>
      </c>
      <c r="G13" s="72" t="s">
        <v>211</v>
      </c>
      <c r="H13" s="72" t="s">
        <v>212</v>
      </c>
      <c r="I13" s="72" t="s">
        <v>212</v>
      </c>
      <c r="J13" s="72" t="s">
        <v>213</v>
      </c>
      <c r="K13" s="72" t="s">
        <v>213</v>
      </c>
      <c r="L13" s="72" t="s">
        <v>214</v>
      </c>
      <c r="M13" s="72" t="s">
        <v>214</v>
      </c>
      <c r="N13" s="72" t="s">
        <v>215</v>
      </c>
      <c r="O13" s="72" t="s">
        <v>215</v>
      </c>
      <c r="P13" s="72" t="s">
        <v>216</v>
      </c>
      <c r="Q13" s="72" t="s">
        <v>216</v>
      </c>
      <c r="R13" s="72" t="s">
        <v>217</v>
      </c>
      <c r="S13" s="72" t="s">
        <v>217</v>
      </c>
      <c r="T13" s="72" t="s">
        <v>218</v>
      </c>
      <c r="U13" s="72" t="s">
        <v>218</v>
      </c>
      <c r="V13" s="72" t="s">
        <v>219</v>
      </c>
      <c r="W13" s="72" t="s">
        <v>219</v>
      </c>
      <c r="X13" s="72" t="s">
        <v>220</v>
      </c>
      <c r="Y13" s="72" t="s">
        <v>220</v>
      </c>
      <c r="Z13" s="72" t="s">
        <v>221</v>
      </c>
      <c r="AA13" s="72" t="s">
        <v>221</v>
      </c>
      <c r="AB13" s="72" t="s">
        <v>222</v>
      </c>
      <c r="AC13" s="72" t="s">
        <v>222</v>
      </c>
      <c r="AD13" s="72" t="s">
        <v>219</v>
      </c>
      <c r="AE13" s="72" t="s">
        <v>219</v>
      </c>
      <c r="AF13" s="72" t="s">
        <v>223</v>
      </c>
      <c r="AG13" s="72" t="s">
        <v>223</v>
      </c>
      <c r="AH13" s="72" t="s">
        <v>224</v>
      </c>
      <c r="AI13" s="72" t="s">
        <v>224</v>
      </c>
      <c r="AJ13" s="72" t="s">
        <v>225</v>
      </c>
      <c r="AK13" s="72" t="s">
        <v>225</v>
      </c>
      <c r="AL13" s="72"/>
      <c r="AM13" s="72"/>
      <c r="AN13" s="72"/>
      <c r="AO13" s="72"/>
      <c r="AP13" s="72"/>
      <c r="AQ13" s="72"/>
    </row>
    <row r="14" spans="3:43" ht="15" customHeight="1" x14ac:dyDescent="0.25"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</row>
    <row r="15" spans="3:43" x14ac:dyDescent="0.25">
      <c r="C15" s="72" t="s">
        <v>226</v>
      </c>
      <c r="D15" s="72">
        <v>-0.5</v>
      </c>
      <c r="E15" s="72">
        <v>-0.5</v>
      </c>
      <c r="F15" s="72">
        <v>-0.3</v>
      </c>
      <c r="G15" s="72">
        <v>-0.3</v>
      </c>
      <c r="H15" s="72">
        <v>-0.6</v>
      </c>
      <c r="I15" s="72">
        <v>-0.6</v>
      </c>
      <c r="J15" s="72">
        <v>-0.3</v>
      </c>
      <c r="K15" s="72">
        <v>-0.3</v>
      </c>
      <c r="L15" s="72">
        <v>-0.5</v>
      </c>
      <c r="M15" s="72">
        <v>-0.5</v>
      </c>
      <c r="N15" s="72">
        <v>-0.4</v>
      </c>
      <c r="O15" s="72">
        <v>-0.4</v>
      </c>
      <c r="P15" s="72">
        <v>-0.2</v>
      </c>
      <c r="Q15" s="72">
        <v>-0.2</v>
      </c>
      <c r="R15" s="72">
        <v>-0.3</v>
      </c>
      <c r="S15" s="72">
        <v>-0.3</v>
      </c>
      <c r="T15" s="72">
        <v>-0.3</v>
      </c>
      <c r="U15" s="72">
        <v>-0.3</v>
      </c>
      <c r="V15" s="72">
        <v>-0.4</v>
      </c>
      <c r="W15" s="72">
        <v>-0.4</v>
      </c>
      <c r="X15" s="72">
        <v>-0.4</v>
      </c>
      <c r="Y15" s="72">
        <v>-0.4</v>
      </c>
      <c r="Z15" s="72">
        <v>-0.6</v>
      </c>
      <c r="AA15" s="72">
        <v>-0.6</v>
      </c>
      <c r="AB15" s="72">
        <v>-0.7</v>
      </c>
      <c r="AC15" s="72">
        <v>-0.7</v>
      </c>
      <c r="AD15" s="72">
        <v>-0.7</v>
      </c>
      <c r="AE15" s="72">
        <v>-0.7</v>
      </c>
      <c r="AF15" s="72">
        <v>-0.6</v>
      </c>
      <c r="AG15" s="72">
        <v>-0.6</v>
      </c>
      <c r="AH15" s="72">
        <v>-0.9</v>
      </c>
      <c r="AI15" s="72">
        <v>-0.9</v>
      </c>
      <c r="AJ15" s="72">
        <v>-0.7</v>
      </c>
      <c r="AK15" s="72">
        <v>-0.7</v>
      </c>
      <c r="AL15" s="72"/>
      <c r="AM15" s="72"/>
      <c r="AN15" s="72"/>
      <c r="AO15" s="72"/>
      <c r="AP15" s="72"/>
      <c r="AQ15" s="72"/>
    </row>
    <row r="16" spans="3:43" x14ac:dyDescent="0.25">
      <c r="C16" s="72" t="s">
        <v>227</v>
      </c>
      <c r="D16" s="72">
        <v>0.7</v>
      </c>
      <c r="E16" s="72">
        <v>0.7</v>
      </c>
      <c r="F16" s="72">
        <v>1.1000000000000001</v>
      </c>
      <c r="G16" s="72">
        <v>1.1000000000000001</v>
      </c>
      <c r="H16" s="72">
        <v>1.1000000000000001</v>
      </c>
      <c r="I16" s="72">
        <v>1.1000000000000001</v>
      </c>
      <c r="J16" s="72">
        <v>1.3</v>
      </c>
      <c r="K16" s="72">
        <v>1.3</v>
      </c>
      <c r="L16" s="72">
        <v>1.4</v>
      </c>
      <c r="M16" s="72">
        <v>1.4</v>
      </c>
      <c r="N16" s="72">
        <v>1.5</v>
      </c>
      <c r="O16" s="72">
        <v>1.5</v>
      </c>
      <c r="P16" s="72">
        <v>0.7</v>
      </c>
      <c r="Q16" s="72">
        <v>0.7</v>
      </c>
      <c r="R16" s="72">
        <v>0.8</v>
      </c>
      <c r="S16" s="72">
        <v>0.8</v>
      </c>
      <c r="T16" s="72">
        <v>1</v>
      </c>
      <c r="U16" s="72">
        <v>1</v>
      </c>
      <c r="V16" s="72">
        <v>0.9</v>
      </c>
      <c r="W16" s="72">
        <v>0.9</v>
      </c>
      <c r="X16" s="72">
        <v>1.3</v>
      </c>
      <c r="Y16" s="72">
        <v>1.3</v>
      </c>
      <c r="Z16" s="72">
        <v>2.1</v>
      </c>
      <c r="AA16" s="72">
        <v>2.1</v>
      </c>
      <c r="AB16" s="72">
        <v>1.8</v>
      </c>
      <c r="AC16" s="72">
        <v>1.8</v>
      </c>
      <c r="AD16" s="72">
        <v>2.2999999999999998</v>
      </c>
      <c r="AE16" s="72">
        <v>2.2999999999999998</v>
      </c>
      <c r="AF16" s="72">
        <v>1.9</v>
      </c>
      <c r="AG16" s="72">
        <v>1.9</v>
      </c>
      <c r="AH16" s="72">
        <v>2.5</v>
      </c>
      <c r="AI16" s="72">
        <v>2.5</v>
      </c>
      <c r="AJ16" s="72">
        <v>2.1</v>
      </c>
      <c r="AK16" s="72">
        <v>2.1</v>
      </c>
      <c r="AL16" s="72"/>
      <c r="AM16" s="72"/>
      <c r="AN16" s="72"/>
      <c r="AO16" s="72"/>
      <c r="AP16" s="72"/>
      <c r="AQ16" s="72"/>
    </row>
    <row r="17" spans="3:43" x14ac:dyDescent="0.25">
      <c r="C17" s="72" t="s">
        <v>228</v>
      </c>
      <c r="D17" s="72" t="s">
        <v>229</v>
      </c>
      <c r="E17" s="72" t="s">
        <v>229</v>
      </c>
      <c r="F17" s="72" t="s">
        <v>230</v>
      </c>
      <c r="G17" s="72" t="s">
        <v>230</v>
      </c>
      <c r="H17" s="72" t="s">
        <v>231</v>
      </c>
      <c r="I17" s="72" t="s">
        <v>231</v>
      </c>
      <c r="J17" s="72" t="s">
        <v>232</v>
      </c>
      <c r="K17" s="72" t="s">
        <v>232</v>
      </c>
      <c r="L17" s="72" t="s">
        <v>233</v>
      </c>
      <c r="M17" s="72" t="s">
        <v>233</v>
      </c>
      <c r="N17" s="72" t="s">
        <v>234</v>
      </c>
      <c r="O17" s="72" t="s">
        <v>234</v>
      </c>
      <c r="P17" s="72" t="s">
        <v>235</v>
      </c>
      <c r="Q17" s="72" t="s">
        <v>235</v>
      </c>
      <c r="R17" s="72" t="s">
        <v>236</v>
      </c>
      <c r="S17" s="72" t="s">
        <v>236</v>
      </c>
      <c r="T17" s="72" t="s">
        <v>237</v>
      </c>
      <c r="U17" s="72" t="s">
        <v>237</v>
      </c>
      <c r="V17" s="72" t="s">
        <v>238</v>
      </c>
      <c r="W17" s="72" t="s">
        <v>238</v>
      </c>
      <c r="X17" s="72" t="s">
        <v>239</v>
      </c>
      <c r="Y17" s="72" t="s">
        <v>239</v>
      </c>
      <c r="Z17" s="72" t="s">
        <v>240</v>
      </c>
      <c r="AA17" s="72" t="s">
        <v>240</v>
      </c>
      <c r="AB17" s="72" t="s">
        <v>241</v>
      </c>
      <c r="AC17" s="72" t="s">
        <v>241</v>
      </c>
      <c r="AD17" s="72" t="s">
        <v>242</v>
      </c>
      <c r="AE17" s="72" t="s">
        <v>242</v>
      </c>
      <c r="AF17" s="72" t="s">
        <v>243</v>
      </c>
      <c r="AG17" s="72" t="s">
        <v>243</v>
      </c>
      <c r="AH17" s="72" t="s">
        <v>244</v>
      </c>
      <c r="AI17" s="72" t="s">
        <v>244</v>
      </c>
      <c r="AJ17" s="72" t="s">
        <v>245</v>
      </c>
      <c r="AK17" s="72" t="s">
        <v>245</v>
      </c>
      <c r="AL17" s="72"/>
      <c r="AM17" s="72"/>
      <c r="AN17" s="72"/>
      <c r="AO17" s="72"/>
      <c r="AP17" s="72"/>
      <c r="AQ17" s="72"/>
    </row>
    <row r="18" spans="3:43" ht="15" customHeight="1" x14ac:dyDescent="0.25"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</row>
    <row r="19" spans="3:43" x14ac:dyDescent="0.25">
      <c r="C19" s="72" t="s">
        <v>246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</v>
      </c>
      <c r="AD19" s="72">
        <v>0</v>
      </c>
      <c r="AE19" s="72">
        <v>0</v>
      </c>
      <c r="AF19" s="72">
        <v>0</v>
      </c>
      <c r="AG19" s="72">
        <v>0</v>
      </c>
      <c r="AH19" s="72">
        <v>0</v>
      </c>
      <c r="AI19" s="72">
        <v>0</v>
      </c>
      <c r="AJ19" s="72">
        <v>0</v>
      </c>
      <c r="AK19" s="72">
        <v>0</v>
      </c>
      <c r="AL19" s="72"/>
      <c r="AM19" s="72"/>
      <c r="AN19" s="72"/>
      <c r="AO19" s="72"/>
      <c r="AP19" s="72"/>
      <c r="AQ19" s="72"/>
    </row>
    <row r="20" spans="3:43" x14ac:dyDescent="0.25">
      <c r="C20" s="72" t="s">
        <v>247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</row>
    <row r="21" spans="3:43" x14ac:dyDescent="0.25">
      <c r="C21" s="72" t="s">
        <v>248</v>
      </c>
      <c r="D21" s="72">
        <v>-0.1</v>
      </c>
      <c r="E21" s="72">
        <v>-0.1</v>
      </c>
      <c r="F21" s="72">
        <v>-0.2</v>
      </c>
      <c r="G21" s="72">
        <v>-0.2</v>
      </c>
      <c r="H21" s="72">
        <v>0</v>
      </c>
      <c r="I21" s="72">
        <v>0</v>
      </c>
      <c r="J21" s="72">
        <v>-0.3</v>
      </c>
      <c r="K21" s="72">
        <v>-0.3</v>
      </c>
      <c r="L21" s="72">
        <v>-0.3</v>
      </c>
      <c r="M21" s="72">
        <v>-0.3</v>
      </c>
      <c r="N21" s="72">
        <v>-0.3</v>
      </c>
      <c r="O21" s="72">
        <v>-0.3</v>
      </c>
      <c r="P21" s="72">
        <v>-0.1</v>
      </c>
      <c r="Q21" s="72">
        <v>-0.1</v>
      </c>
      <c r="R21" s="72">
        <v>-0.6</v>
      </c>
      <c r="S21" s="72">
        <v>-0.6</v>
      </c>
      <c r="T21" s="72">
        <v>0.1</v>
      </c>
      <c r="U21" s="72">
        <v>0.1</v>
      </c>
      <c r="V21" s="72">
        <v>-0.1</v>
      </c>
      <c r="W21" s="72">
        <v>-0.1</v>
      </c>
      <c r="X21" s="72">
        <v>0</v>
      </c>
      <c r="Y21" s="72">
        <v>0</v>
      </c>
      <c r="Z21" s="72">
        <v>-0.4</v>
      </c>
      <c r="AA21" s="72">
        <v>-0.4</v>
      </c>
      <c r="AB21" s="72">
        <v>-0.1</v>
      </c>
      <c r="AC21" s="72">
        <v>-0.1</v>
      </c>
      <c r="AD21" s="72">
        <v>-0.7</v>
      </c>
      <c r="AE21" s="72">
        <v>-0.7</v>
      </c>
      <c r="AF21" s="72">
        <v>-0.2</v>
      </c>
      <c r="AG21" s="72">
        <v>-0.2</v>
      </c>
      <c r="AH21" s="72">
        <v>-0.6</v>
      </c>
      <c r="AI21" s="72">
        <v>-0.6</v>
      </c>
      <c r="AJ21" s="72">
        <v>-0.3</v>
      </c>
      <c r="AK21" s="72">
        <v>-0.3</v>
      </c>
      <c r="AL21" s="72"/>
      <c r="AM21" s="72"/>
      <c r="AN21" s="72"/>
      <c r="AO21" s="72"/>
      <c r="AP21" s="72"/>
      <c r="AQ21" s="72"/>
    </row>
    <row r="22" spans="3:43" x14ac:dyDescent="0.25">
      <c r="C22" s="72" t="s">
        <v>249</v>
      </c>
      <c r="D22" s="72">
        <v>-0.6</v>
      </c>
      <c r="E22" s="72">
        <v>-0.6</v>
      </c>
      <c r="F22" s="72">
        <v>-0.7</v>
      </c>
      <c r="G22" s="72">
        <v>-0.7</v>
      </c>
      <c r="H22" s="72">
        <v>-0.7</v>
      </c>
      <c r="I22" s="72">
        <v>-0.7</v>
      </c>
      <c r="J22" s="72">
        <v>-1.5</v>
      </c>
      <c r="K22" s="72">
        <v>-1.5</v>
      </c>
      <c r="L22" s="72">
        <v>-1.2</v>
      </c>
      <c r="M22" s="72">
        <v>-1.2</v>
      </c>
      <c r="N22" s="72">
        <v>-1.4</v>
      </c>
      <c r="O22" s="72">
        <v>-1.4</v>
      </c>
      <c r="P22" s="72">
        <v>-1</v>
      </c>
      <c r="Q22" s="72">
        <v>-1</v>
      </c>
      <c r="R22" s="72">
        <v>-1.5</v>
      </c>
      <c r="S22" s="72">
        <v>-1.5</v>
      </c>
      <c r="T22" s="72">
        <v>-0.8</v>
      </c>
      <c r="U22" s="72">
        <v>-0.8</v>
      </c>
      <c r="V22" s="72">
        <v>-1.1000000000000001</v>
      </c>
      <c r="W22" s="72">
        <v>-1.1000000000000001</v>
      </c>
      <c r="X22" s="72">
        <v>-1.1000000000000001</v>
      </c>
      <c r="Y22" s="72">
        <v>-1.1000000000000001</v>
      </c>
      <c r="Z22" s="72">
        <v>-1.8</v>
      </c>
      <c r="AA22" s="72">
        <v>-1.8</v>
      </c>
      <c r="AB22" s="72">
        <v>-1.6</v>
      </c>
      <c r="AC22" s="72">
        <v>-1.6</v>
      </c>
      <c r="AD22" s="72">
        <v>-2.1</v>
      </c>
      <c r="AE22" s="72">
        <v>-2.1</v>
      </c>
      <c r="AF22" s="72">
        <v>-1.7</v>
      </c>
      <c r="AG22" s="72">
        <v>-1.7</v>
      </c>
      <c r="AH22" s="72">
        <v>-2.1</v>
      </c>
      <c r="AI22" s="72">
        <v>-2.1</v>
      </c>
      <c r="AJ22" s="72">
        <v>-1.8</v>
      </c>
      <c r="AK22" s="72">
        <v>-1.8</v>
      </c>
      <c r="AL22" s="72"/>
      <c r="AM22" s="72"/>
      <c r="AN22" s="72"/>
      <c r="AO22" s="72"/>
      <c r="AP22" s="72"/>
      <c r="AQ22" s="72"/>
    </row>
    <row r="23" spans="3:43" x14ac:dyDescent="0.25">
      <c r="C23" s="72" t="s">
        <v>250</v>
      </c>
      <c r="D23" s="72">
        <v>0.2</v>
      </c>
      <c r="E23" s="72">
        <v>0.2</v>
      </c>
      <c r="F23" s="72">
        <v>0.4</v>
      </c>
      <c r="G23" s="72">
        <v>0.4</v>
      </c>
      <c r="H23" s="72">
        <v>0.4</v>
      </c>
      <c r="I23" s="72">
        <v>0.4</v>
      </c>
      <c r="J23" s="72">
        <v>-0.1</v>
      </c>
      <c r="K23" s="72">
        <v>-0.1</v>
      </c>
      <c r="L23" s="72">
        <v>0.2</v>
      </c>
      <c r="M23" s="72">
        <v>0.2</v>
      </c>
      <c r="N23" s="72">
        <v>0.1</v>
      </c>
      <c r="O23" s="72">
        <v>0.1</v>
      </c>
      <c r="P23" s="72">
        <v>-0.3</v>
      </c>
      <c r="Q23" s="72">
        <v>-0.3</v>
      </c>
      <c r="R23" s="72">
        <v>-0.7</v>
      </c>
      <c r="S23" s="72">
        <v>-0.7</v>
      </c>
      <c r="T23" s="72">
        <v>0.1</v>
      </c>
      <c r="U23" s="72">
        <v>0.1</v>
      </c>
      <c r="V23" s="72">
        <v>-0.2</v>
      </c>
      <c r="W23" s="72">
        <v>-0.2</v>
      </c>
      <c r="X23" s="72">
        <v>0.2</v>
      </c>
      <c r="Y23" s="72">
        <v>0.2</v>
      </c>
      <c r="Z23" s="72">
        <v>0.3</v>
      </c>
      <c r="AA23" s="72">
        <v>0.3</v>
      </c>
      <c r="AB23" s="72">
        <v>0.2</v>
      </c>
      <c r="AC23" s="72">
        <v>0.2</v>
      </c>
      <c r="AD23" s="72">
        <v>0.1</v>
      </c>
      <c r="AE23" s="72">
        <v>0.1</v>
      </c>
      <c r="AF23" s="72">
        <v>0.2</v>
      </c>
      <c r="AG23" s="72">
        <v>0.2</v>
      </c>
      <c r="AH23" s="72">
        <v>0.3</v>
      </c>
      <c r="AI23" s="72">
        <v>0.3</v>
      </c>
      <c r="AJ23" s="72">
        <v>0.2</v>
      </c>
      <c r="AK23" s="72">
        <v>0.2</v>
      </c>
      <c r="AL23" s="72"/>
      <c r="AM23" s="72"/>
      <c r="AN23" s="72"/>
      <c r="AO23" s="72"/>
      <c r="AP23" s="72"/>
      <c r="AQ23" s="72"/>
    </row>
    <row r="24" spans="3:43" x14ac:dyDescent="0.25"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</row>
    <row r="25" spans="3:43" ht="15" customHeight="1" x14ac:dyDescent="0.25">
      <c r="C25" s="72" t="s">
        <v>251</v>
      </c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-0.1</v>
      </c>
      <c r="AC25" s="72">
        <v>-0.1</v>
      </c>
      <c r="AD25" s="72">
        <v>-0.1</v>
      </c>
      <c r="AE25" s="72">
        <v>-0.1</v>
      </c>
      <c r="AF25" s="72">
        <v>-0.1</v>
      </c>
      <c r="AG25" s="72">
        <v>-0.1</v>
      </c>
      <c r="AH25" s="72">
        <v>0</v>
      </c>
      <c r="AI25" s="72">
        <v>0</v>
      </c>
      <c r="AJ25" s="72">
        <v>0</v>
      </c>
      <c r="AK25" s="72">
        <v>0</v>
      </c>
      <c r="AL25" s="72"/>
      <c r="AM25" s="72"/>
      <c r="AN25" s="72"/>
      <c r="AO25" s="72"/>
      <c r="AP25" s="72"/>
      <c r="AQ25" s="72"/>
    </row>
    <row r="26" spans="3:43" x14ac:dyDescent="0.25">
      <c r="C26" s="72" t="s">
        <v>252</v>
      </c>
      <c r="D26" s="72">
        <v>0.2</v>
      </c>
      <c r="E26" s="72">
        <v>0.2</v>
      </c>
      <c r="F26" s="72">
        <v>0.4</v>
      </c>
      <c r="G26" s="72">
        <v>0.4</v>
      </c>
      <c r="H26" s="72">
        <v>0.4</v>
      </c>
      <c r="I26" s="72">
        <v>0.4</v>
      </c>
      <c r="J26" s="72">
        <v>-0.1</v>
      </c>
      <c r="K26" s="72">
        <v>-0.1</v>
      </c>
      <c r="L26" s="72">
        <v>0.2</v>
      </c>
      <c r="M26" s="72">
        <v>0.2</v>
      </c>
      <c r="N26" s="72">
        <v>0.1</v>
      </c>
      <c r="O26" s="72">
        <v>0.1</v>
      </c>
      <c r="P26" s="72">
        <v>-0.3</v>
      </c>
      <c r="Q26" s="72">
        <v>-0.3</v>
      </c>
      <c r="R26" s="72">
        <v>-0.7</v>
      </c>
      <c r="S26" s="72">
        <v>-0.7</v>
      </c>
      <c r="T26" s="72">
        <v>0.1</v>
      </c>
      <c r="U26" s="72">
        <v>0.1</v>
      </c>
      <c r="V26" s="72">
        <v>-0.3</v>
      </c>
      <c r="W26" s="72">
        <v>-0.3</v>
      </c>
      <c r="X26" s="72">
        <v>0.2</v>
      </c>
      <c r="Y26" s="72">
        <v>0.2</v>
      </c>
      <c r="Z26" s="72">
        <v>0.3</v>
      </c>
      <c r="AA26" s="72">
        <v>0.3</v>
      </c>
      <c r="AB26" s="72">
        <v>0.1</v>
      </c>
      <c r="AC26" s="72">
        <v>0.1</v>
      </c>
      <c r="AD26" s="72">
        <v>0.1</v>
      </c>
      <c r="AE26" s="72">
        <v>0.1</v>
      </c>
      <c r="AF26" s="72">
        <v>0.1</v>
      </c>
      <c r="AG26" s="72">
        <v>0.1</v>
      </c>
      <c r="AH26" s="72">
        <v>0.3</v>
      </c>
      <c r="AI26" s="72">
        <v>0.3</v>
      </c>
      <c r="AJ26" s="72">
        <v>0.2</v>
      </c>
      <c r="AK26" s="72">
        <v>0.2</v>
      </c>
      <c r="AL26" s="72"/>
      <c r="AM26" s="72"/>
      <c r="AN26" s="72"/>
      <c r="AO26" s="72"/>
      <c r="AP26" s="72"/>
      <c r="AQ26" s="72"/>
    </row>
    <row r="27" spans="3:43" x14ac:dyDescent="0.25">
      <c r="C27" s="72" t="s">
        <v>253</v>
      </c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</row>
    <row r="28" spans="3:43" x14ac:dyDescent="0.25">
      <c r="C28" s="72" t="s">
        <v>254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Z28" s="72">
        <v>0</v>
      </c>
      <c r="AA28" s="72">
        <v>0</v>
      </c>
      <c r="AB28" s="72">
        <v>0</v>
      </c>
      <c r="AC28" s="72">
        <v>0</v>
      </c>
      <c r="AD28" s="72">
        <v>0</v>
      </c>
      <c r="AE28" s="72">
        <v>0</v>
      </c>
      <c r="AF28" s="72">
        <v>0</v>
      </c>
      <c r="AG28" s="72">
        <v>0</v>
      </c>
      <c r="AH28" s="72">
        <v>0</v>
      </c>
      <c r="AI28" s="72">
        <v>0</v>
      </c>
      <c r="AJ28" s="72">
        <v>0</v>
      </c>
      <c r="AK28" s="72">
        <v>0</v>
      </c>
      <c r="AL28" s="72"/>
      <c r="AM28" s="72"/>
      <c r="AN28" s="72"/>
      <c r="AO28" s="72"/>
      <c r="AP28" s="72"/>
      <c r="AQ28" s="72"/>
    </row>
    <row r="29" spans="3:43" x14ac:dyDescent="0.25">
      <c r="C29" s="72" t="s">
        <v>255</v>
      </c>
      <c r="D29" s="72">
        <v>0.1</v>
      </c>
      <c r="E29" s="72">
        <v>0.1</v>
      </c>
      <c r="F29" s="72">
        <v>0.4</v>
      </c>
      <c r="G29" s="72">
        <v>0.4</v>
      </c>
      <c r="H29" s="72">
        <v>0.3</v>
      </c>
      <c r="I29" s="72">
        <v>0.3</v>
      </c>
      <c r="J29" s="72">
        <v>-0.1</v>
      </c>
      <c r="K29" s="72">
        <v>-0.1</v>
      </c>
      <c r="L29" s="72">
        <v>0.2</v>
      </c>
      <c r="M29" s="72">
        <v>0.2</v>
      </c>
      <c r="N29" s="72">
        <v>0.1</v>
      </c>
      <c r="O29" s="72">
        <v>0.1</v>
      </c>
      <c r="P29" s="72">
        <v>-0.3</v>
      </c>
      <c r="Q29" s="72">
        <v>-0.3</v>
      </c>
      <c r="R29" s="72">
        <v>-0.7</v>
      </c>
      <c r="S29" s="72">
        <v>-0.7</v>
      </c>
      <c r="T29" s="72">
        <v>0.1</v>
      </c>
      <c r="U29" s="72">
        <v>0.1</v>
      </c>
      <c r="V29" s="72">
        <v>-0.3</v>
      </c>
      <c r="W29" s="72">
        <v>-0.3</v>
      </c>
      <c r="X29" s="72">
        <v>0.2</v>
      </c>
      <c r="Y29" s="72">
        <v>0.2</v>
      </c>
      <c r="Z29" s="72">
        <v>0.3</v>
      </c>
      <c r="AA29" s="72">
        <v>0.3</v>
      </c>
      <c r="AB29" s="72">
        <v>0.1</v>
      </c>
      <c r="AC29" s="72">
        <v>0.1</v>
      </c>
      <c r="AD29" s="72">
        <v>0.1</v>
      </c>
      <c r="AE29" s="72">
        <v>0.1</v>
      </c>
      <c r="AF29" s="72">
        <v>0.1</v>
      </c>
      <c r="AG29" s="72">
        <v>0.1</v>
      </c>
      <c r="AH29" s="72">
        <v>0.3</v>
      </c>
      <c r="AI29" s="72">
        <v>0.3</v>
      </c>
      <c r="AJ29" s="72">
        <v>0.2</v>
      </c>
      <c r="AK29" s="72">
        <v>0.2</v>
      </c>
      <c r="AL29" s="72"/>
      <c r="AM29" s="72"/>
      <c r="AN29" s="72"/>
      <c r="AO29" s="72"/>
      <c r="AP29" s="72"/>
      <c r="AQ29" s="72"/>
    </row>
    <row r="30" spans="3:43" x14ac:dyDescent="0.25"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</row>
    <row r="31" spans="3:43" ht="15" customHeight="1" x14ac:dyDescent="0.25">
      <c r="C31" s="72" t="s">
        <v>256</v>
      </c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</row>
    <row r="32" spans="3:43" x14ac:dyDescent="0.25">
      <c r="C32" s="72" t="s">
        <v>257</v>
      </c>
      <c r="D32" s="72">
        <v>0.1</v>
      </c>
      <c r="E32" s="72">
        <v>0.1</v>
      </c>
      <c r="F32" s="72">
        <v>0.4</v>
      </c>
      <c r="G32" s="72">
        <v>0.4</v>
      </c>
      <c r="H32" s="72">
        <v>0.3</v>
      </c>
      <c r="I32" s="72">
        <v>0.3</v>
      </c>
      <c r="J32" s="72">
        <v>-0.1</v>
      </c>
      <c r="K32" s="72">
        <v>-0.1</v>
      </c>
      <c r="L32" s="72">
        <v>0.2</v>
      </c>
      <c r="M32" s="72">
        <v>0.2</v>
      </c>
      <c r="N32" s="72">
        <v>0.1</v>
      </c>
      <c r="O32" s="72">
        <v>0.1</v>
      </c>
      <c r="P32" s="72">
        <v>-0.3</v>
      </c>
      <c r="Q32" s="72">
        <v>-0.3</v>
      </c>
      <c r="R32" s="72">
        <v>-0.7</v>
      </c>
      <c r="S32" s="72">
        <v>-0.7</v>
      </c>
      <c r="T32" s="72">
        <v>0.1</v>
      </c>
      <c r="U32" s="72">
        <v>0.1</v>
      </c>
      <c r="V32" s="72">
        <v>-0.3</v>
      </c>
      <c r="W32" s="72">
        <v>-0.3</v>
      </c>
      <c r="X32" s="72">
        <v>0.2</v>
      </c>
      <c r="Y32" s="72">
        <v>0.2</v>
      </c>
      <c r="Z32" s="72">
        <v>0.3</v>
      </c>
      <c r="AA32" s="72">
        <v>0.3</v>
      </c>
      <c r="AB32" s="72">
        <v>0.1</v>
      </c>
      <c r="AC32" s="72">
        <v>0.1</v>
      </c>
      <c r="AD32" s="72">
        <v>0.1</v>
      </c>
      <c r="AE32" s="72">
        <v>0.1</v>
      </c>
      <c r="AF32" s="72">
        <v>0.1</v>
      </c>
      <c r="AG32" s="72">
        <v>0.1</v>
      </c>
      <c r="AH32" s="72">
        <v>0.3</v>
      </c>
      <c r="AI32" s="72">
        <v>0.3</v>
      </c>
      <c r="AJ32" s="72">
        <v>0.2</v>
      </c>
      <c r="AK32" s="72">
        <v>0.2</v>
      </c>
      <c r="AL32" s="72"/>
      <c r="AM32" s="72"/>
      <c r="AN32" s="72"/>
      <c r="AO32" s="72"/>
      <c r="AP32" s="72"/>
      <c r="AQ32" s="72"/>
    </row>
    <row r="33" spans="3:43" x14ac:dyDescent="0.25"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</row>
    <row r="34" spans="3:43" ht="15" customHeight="1" x14ac:dyDescent="0.25">
      <c r="C34" s="72" t="s">
        <v>258</v>
      </c>
      <c r="D34" s="72">
        <v>0</v>
      </c>
      <c r="E34" s="72">
        <v>0</v>
      </c>
      <c r="F34" s="72">
        <v>0</v>
      </c>
      <c r="G34" s="72">
        <v>0</v>
      </c>
      <c r="H34" s="72">
        <v>0</v>
      </c>
      <c r="I34" s="72">
        <v>0</v>
      </c>
      <c r="J34" s="72">
        <v>0</v>
      </c>
      <c r="K34" s="72">
        <v>0</v>
      </c>
      <c r="L34" s="72">
        <v>0</v>
      </c>
      <c r="M34" s="72">
        <v>0</v>
      </c>
      <c r="N34" s="72">
        <v>0</v>
      </c>
      <c r="O34" s="72">
        <v>0</v>
      </c>
      <c r="P34" s="72">
        <v>0</v>
      </c>
      <c r="Q34" s="72">
        <v>0</v>
      </c>
      <c r="R34" s="72">
        <v>0</v>
      </c>
      <c r="S34" s="72">
        <v>0</v>
      </c>
      <c r="T34" s="72">
        <v>0</v>
      </c>
      <c r="U34" s="72">
        <v>0</v>
      </c>
      <c r="V34" s="72">
        <v>0</v>
      </c>
      <c r="W34" s="72">
        <v>0</v>
      </c>
      <c r="X34" s="72">
        <v>0</v>
      </c>
      <c r="Y34" s="72">
        <v>0</v>
      </c>
      <c r="Z34" s="72">
        <v>0</v>
      </c>
      <c r="AA34" s="72">
        <v>0</v>
      </c>
      <c r="AB34" s="72">
        <v>0</v>
      </c>
      <c r="AC34" s="72">
        <v>0</v>
      </c>
      <c r="AD34" s="72">
        <v>0</v>
      </c>
      <c r="AE34" s="72">
        <v>0</v>
      </c>
      <c r="AF34" s="72">
        <v>0</v>
      </c>
      <c r="AG34" s="72">
        <v>0</v>
      </c>
      <c r="AH34" s="72">
        <v>0</v>
      </c>
      <c r="AI34" s="72">
        <v>0</v>
      </c>
      <c r="AJ34" s="72">
        <v>0</v>
      </c>
      <c r="AK34" s="72">
        <v>0</v>
      </c>
      <c r="AL34" s="72"/>
      <c r="AM34" s="72"/>
      <c r="AN34" s="72"/>
      <c r="AO34" s="72"/>
      <c r="AP34" s="72"/>
      <c r="AQ34" s="72"/>
    </row>
    <row r="35" spans="3:43" x14ac:dyDescent="0.25">
      <c r="C35" s="72" t="s">
        <v>259</v>
      </c>
      <c r="D35" s="72">
        <v>0.1</v>
      </c>
      <c r="E35" s="72">
        <v>0.1</v>
      </c>
      <c r="F35" s="72">
        <v>0.4</v>
      </c>
      <c r="G35" s="72">
        <v>0.4</v>
      </c>
      <c r="H35" s="72">
        <v>0.3</v>
      </c>
      <c r="I35" s="72">
        <v>0.3</v>
      </c>
      <c r="J35" s="72">
        <v>-0.1</v>
      </c>
      <c r="K35" s="72">
        <v>-0.1</v>
      </c>
      <c r="L35" s="72">
        <v>0.2</v>
      </c>
      <c r="M35" s="72">
        <v>0.2</v>
      </c>
      <c r="N35" s="72">
        <v>0.1</v>
      </c>
      <c r="O35" s="72">
        <v>0.1</v>
      </c>
      <c r="P35" s="72">
        <v>-0.3</v>
      </c>
      <c r="Q35" s="72">
        <v>-0.3</v>
      </c>
      <c r="R35" s="72">
        <v>-0.7</v>
      </c>
      <c r="S35" s="72">
        <v>-0.7</v>
      </c>
      <c r="T35" s="72">
        <v>0.1</v>
      </c>
      <c r="U35" s="72">
        <v>0.1</v>
      </c>
      <c r="V35" s="72">
        <v>-0.3</v>
      </c>
      <c r="W35" s="72">
        <v>-0.3</v>
      </c>
      <c r="X35" s="72">
        <v>0.2</v>
      </c>
      <c r="Y35" s="72">
        <v>0.2</v>
      </c>
      <c r="Z35" s="72">
        <v>0.3</v>
      </c>
      <c r="AA35" s="72">
        <v>0.3</v>
      </c>
      <c r="AB35" s="72">
        <v>0.1</v>
      </c>
      <c r="AC35" s="72">
        <v>0.1</v>
      </c>
      <c r="AD35" s="72">
        <v>0.1</v>
      </c>
      <c r="AE35" s="72">
        <v>0.1</v>
      </c>
      <c r="AF35" s="72">
        <v>0.1</v>
      </c>
      <c r="AG35" s="72">
        <v>0.1</v>
      </c>
      <c r="AH35" s="72">
        <v>0.3</v>
      </c>
      <c r="AI35" s="72">
        <v>0.3</v>
      </c>
      <c r="AJ35" s="72">
        <v>0.2</v>
      </c>
      <c r="AK35" s="72">
        <v>0.2</v>
      </c>
      <c r="AL35" s="72"/>
      <c r="AM35" s="72"/>
      <c r="AN35" s="72"/>
      <c r="AO35" s="72"/>
      <c r="AP35" s="72"/>
      <c r="AQ35" s="72"/>
    </row>
    <row r="36" spans="3:43" x14ac:dyDescent="0.25"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</row>
    <row r="37" spans="3:43" ht="15" customHeight="1" x14ac:dyDescent="0.25">
      <c r="C37" s="72" t="s">
        <v>260</v>
      </c>
      <c r="D37" s="72"/>
      <c r="E37" s="72"/>
      <c r="F37" s="72"/>
      <c r="G37" s="72"/>
      <c r="H37" s="72">
        <v>0.01</v>
      </c>
      <c r="I37" s="72">
        <v>0.01</v>
      </c>
      <c r="J37" s="72">
        <v>-4.4000000000000003E-3</v>
      </c>
      <c r="K37" s="72">
        <v>-4.4000000000000003E-3</v>
      </c>
      <c r="L37" s="72">
        <v>4.0000000000000001E-3</v>
      </c>
      <c r="M37" s="72">
        <v>4.0000000000000001E-3</v>
      </c>
      <c r="N37" s="72">
        <v>2.8999999999999998E-3</v>
      </c>
      <c r="O37" s="72">
        <v>2.8999999999999998E-3</v>
      </c>
      <c r="P37" s="72">
        <v>-6.7000000000000002E-3</v>
      </c>
      <c r="Q37" s="72">
        <v>-6.7000000000000002E-3</v>
      </c>
      <c r="R37" s="72">
        <v>-1.4999999999999999E-2</v>
      </c>
      <c r="S37" s="72">
        <v>-1.4999999999999999E-2</v>
      </c>
      <c r="T37" s="72">
        <v>2.3999999999999998E-3</v>
      </c>
      <c r="U37" s="72">
        <v>2.3999999999999998E-3</v>
      </c>
      <c r="V37" s="72">
        <v>-6.0000000000000001E-3</v>
      </c>
      <c r="W37" s="72">
        <v>-6.0000000000000001E-3</v>
      </c>
      <c r="X37" s="72">
        <v>3.7000000000000002E-3</v>
      </c>
      <c r="Y37" s="72">
        <v>3.7000000000000002E-3</v>
      </c>
      <c r="Z37" s="72">
        <v>6.0000000000000001E-3</v>
      </c>
      <c r="AA37" s="72">
        <v>6.0000000000000001E-3</v>
      </c>
      <c r="AB37" s="72">
        <v>3.0999999999999999E-3</v>
      </c>
      <c r="AC37" s="72">
        <v>3.0999999999999999E-3</v>
      </c>
      <c r="AD37" s="72">
        <v>1.2999999999999999E-3</v>
      </c>
      <c r="AE37" s="72">
        <v>1.2999999999999999E-3</v>
      </c>
      <c r="AF37" s="72">
        <v>3.0999999999999999E-3</v>
      </c>
      <c r="AG37" s="72">
        <v>3.0999999999999999E-3</v>
      </c>
      <c r="AH37" s="72">
        <v>6.4999999999999997E-3</v>
      </c>
      <c r="AI37" s="72">
        <v>6.4999999999999997E-3</v>
      </c>
      <c r="AJ37" s="72">
        <v>4.8999999999999998E-3</v>
      </c>
      <c r="AK37" s="72">
        <v>4.8999999999999998E-3</v>
      </c>
      <c r="AL37" s="72"/>
      <c r="AM37" s="72"/>
      <c r="AN37" s="72"/>
      <c r="AO37" s="72"/>
      <c r="AP37" s="72"/>
      <c r="AQ37" s="72"/>
    </row>
    <row r="38" spans="3:43" x14ac:dyDescent="0.25">
      <c r="C38" s="72" t="s">
        <v>261</v>
      </c>
      <c r="D38" s="72"/>
      <c r="E38" s="72"/>
      <c r="F38" s="72"/>
      <c r="G38" s="72"/>
      <c r="H38" s="72">
        <v>0.01</v>
      </c>
      <c r="I38" s="72">
        <v>0.01</v>
      </c>
      <c r="J38" s="72">
        <v>-4.4000000000000003E-3</v>
      </c>
      <c r="K38" s="72">
        <v>-4.4000000000000003E-3</v>
      </c>
      <c r="L38" s="72">
        <v>4.0000000000000001E-3</v>
      </c>
      <c r="M38" s="72">
        <v>4.0000000000000001E-3</v>
      </c>
      <c r="N38" s="72">
        <v>2.8999999999999998E-3</v>
      </c>
      <c r="O38" s="72">
        <v>2.8999999999999998E-3</v>
      </c>
      <c r="P38" s="72">
        <v>-6.7000000000000002E-3</v>
      </c>
      <c r="Q38" s="72">
        <v>-6.7000000000000002E-3</v>
      </c>
      <c r="R38" s="72">
        <v>-1.4999999999999999E-2</v>
      </c>
      <c r="S38" s="72">
        <v>-1.4999999999999999E-2</v>
      </c>
      <c r="T38" s="72">
        <v>2.3999999999999998E-3</v>
      </c>
      <c r="U38" s="72">
        <v>2.3999999999999998E-3</v>
      </c>
      <c r="V38" s="72">
        <v>-6.0000000000000001E-3</v>
      </c>
      <c r="W38" s="72">
        <v>-6.0000000000000001E-3</v>
      </c>
      <c r="X38" s="72">
        <v>3.7000000000000002E-3</v>
      </c>
      <c r="Y38" s="72">
        <v>3.7000000000000002E-3</v>
      </c>
      <c r="Z38" s="72">
        <v>6.0000000000000001E-3</v>
      </c>
      <c r="AA38" s="72">
        <v>6.0000000000000001E-3</v>
      </c>
      <c r="AB38" s="72">
        <v>3.0999999999999999E-3</v>
      </c>
      <c r="AC38" s="72">
        <v>3.0999999999999999E-3</v>
      </c>
      <c r="AD38" s="72">
        <v>1.2999999999999999E-3</v>
      </c>
      <c r="AE38" s="72">
        <v>1.2999999999999999E-3</v>
      </c>
      <c r="AF38" s="72">
        <v>3.0999999999999999E-3</v>
      </c>
      <c r="AG38" s="72">
        <v>3.0999999999999999E-3</v>
      </c>
      <c r="AH38" s="72">
        <v>6.4999999999999997E-3</v>
      </c>
      <c r="AI38" s="72">
        <v>6.4999999999999997E-3</v>
      </c>
      <c r="AJ38" s="72">
        <v>4.8999999999999998E-3</v>
      </c>
      <c r="AK38" s="72">
        <v>4.8999999999999998E-3</v>
      </c>
      <c r="AL38" s="72"/>
      <c r="AM38" s="72"/>
      <c r="AN38" s="72"/>
      <c r="AO38" s="72"/>
      <c r="AP38" s="72"/>
      <c r="AQ38" s="72"/>
    </row>
    <row r="39" spans="3:43" x14ac:dyDescent="0.25">
      <c r="C39" s="72" t="s">
        <v>262</v>
      </c>
      <c r="D39" s="72"/>
      <c r="E39" s="72"/>
      <c r="F39" s="72"/>
      <c r="G39" s="72"/>
      <c r="H39" s="72">
        <v>32.299999999999997</v>
      </c>
      <c r="I39" s="72">
        <v>32.299999999999997</v>
      </c>
      <c r="J39" s="72">
        <v>32.299999999999997</v>
      </c>
      <c r="K39" s="72">
        <v>32.299999999999997</v>
      </c>
      <c r="L39" s="72">
        <v>42.4</v>
      </c>
      <c r="M39" s="72">
        <v>42.4</v>
      </c>
      <c r="N39" s="72">
        <v>44.4</v>
      </c>
      <c r="O39" s="72">
        <v>44.4</v>
      </c>
      <c r="P39" s="72">
        <v>44.4</v>
      </c>
      <c r="Q39" s="72">
        <v>44.4</v>
      </c>
      <c r="R39" s="72">
        <v>44.4</v>
      </c>
      <c r="S39" s="72">
        <v>44.4</v>
      </c>
      <c r="T39" s="72">
        <v>44.4</v>
      </c>
      <c r="U39" s="72">
        <v>44.4</v>
      </c>
      <c r="V39" s="72">
        <v>44.4</v>
      </c>
      <c r="W39" s="72">
        <v>44.4</v>
      </c>
      <c r="X39" s="72">
        <v>44.4</v>
      </c>
      <c r="Y39" s="72">
        <v>44.4</v>
      </c>
      <c r="Z39" s="72">
        <v>44.4</v>
      </c>
      <c r="AA39" s="72">
        <v>44.4</v>
      </c>
      <c r="AB39" s="72">
        <v>44.4</v>
      </c>
      <c r="AC39" s="72">
        <v>44.4</v>
      </c>
      <c r="AD39" s="72">
        <v>44.4</v>
      </c>
      <c r="AE39" s="72">
        <v>44.4</v>
      </c>
      <c r="AF39" s="72">
        <v>44.4</v>
      </c>
      <c r="AG39" s="72">
        <v>44.4</v>
      </c>
      <c r="AH39" s="72">
        <v>44.4</v>
      </c>
      <c r="AI39" s="72">
        <v>44.4</v>
      </c>
      <c r="AJ39" s="72">
        <v>44.4</v>
      </c>
      <c r="AK39" s="72">
        <v>44.4</v>
      </c>
      <c r="AL39" s="72"/>
      <c r="AM39" s="72"/>
      <c r="AN39" s="72"/>
      <c r="AO39" s="72"/>
      <c r="AP39" s="72"/>
      <c r="AQ39" s="72"/>
    </row>
    <row r="40" spans="3:43" x14ac:dyDescent="0.25">
      <c r="C40" s="72" t="s">
        <v>263</v>
      </c>
      <c r="D40" s="72"/>
      <c r="E40" s="72"/>
      <c r="F40" s="72"/>
      <c r="G40" s="72"/>
      <c r="H40" s="72">
        <v>32.299999999999997</v>
      </c>
      <c r="I40" s="72">
        <v>32.299999999999997</v>
      </c>
      <c r="J40" s="72">
        <v>32.299999999999997</v>
      </c>
      <c r="K40" s="72">
        <v>32.299999999999997</v>
      </c>
      <c r="L40" s="72">
        <v>42.4</v>
      </c>
      <c r="M40" s="72">
        <v>42.4</v>
      </c>
      <c r="N40" s="72">
        <v>44.4</v>
      </c>
      <c r="O40" s="72">
        <v>44.4</v>
      </c>
      <c r="P40" s="72">
        <v>44.4</v>
      </c>
      <c r="Q40" s="72">
        <v>44.4</v>
      </c>
      <c r="R40" s="72">
        <v>44.4</v>
      </c>
      <c r="S40" s="72">
        <v>44.4</v>
      </c>
      <c r="T40" s="72">
        <v>44.4</v>
      </c>
      <c r="U40" s="72">
        <v>44.4</v>
      </c>
      <c r="V40" s="72">
        <v>44.4</v>
      </c>
      <c r="W40" s="72">
        <v>44.4</v>
      </c>
      <c r="X40" s="72">
        <v>44.4</v>
      </c>
      <c r="Y40" s="72">
        <v>44.4</v>
      </c>
      <c r="Z40" s="72">
        <v>44.4</v>
      </c>
      <c r="AA40" s="72">
        <v>44.4</v>
      </c>
      <c r="AB40" s="72">
        <v>44.4</v>
      </c>
      <c r="AC40" s="72">
        <v>44.4</v>
      </c>
      <c r="AD40" s="72">
        <v>44.4</v>
      </c>
      <c r="AE40" s="72">
        <v>44.4</v>
      </c>
      <c r="AF40" s="72">
        <v>44.4</v>
      </c>
      <c r="AG40" s="72">
        <v>44.4</v>
      </c>
      <c r="AH40" s="72">
        <v>44.4</v>
      </c>
      <c r="AI40" s="72">
        <v>44.4</v>
      </c>
      <c r="AJ40" s="72">
        <v>44.4</v>
      </c>
      <c r="AK40" s="72">
        <v>44.4</v>
      </c>
      <c r="AL40" s="72"/>
      <c r="AM40" s="72"/>
      <c r="AN40" s="72"/>
      <c r="AO40" s="72"/>
      <c r="AP40" s="72"/>
      <c r="AQ40" s="72"/>
    </row>
    <row r="41" spans="3:43" x14ac:dyDescent="0.25"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</row>
    <row r="42" spans="3:43" ht="15" customHeight="1" x14ac:dyDescent="0.25">
      <c r="C42" s="72" t="s">
        <v>264</v>
      </c>
      <c r="D42" s="72">
        <v>0.1</v>
      </c>
      <c r="E42" s="72">
        <v>0.1</v>
      </c>
      <c r="F42" s="72">
        <v>0.5</v>
      </c>
      <c r="G42" s="72">
        <v>0.5</v>
      </c>
      <c r="H42" s="72">
        <v>0.4</v>
      </c>
      <c r="I42" s="72">
        <v>0.4</v>
      </c>
      <c r="J42" s="72">
        <v>0.2</v>
      </c>
      <c r="K42" s="72">
        <v>0.2</v>
      </c>
      <c r="L42" s="72">
        <v>0.2</v>
      </c>
      <c r="M42" s="72">
        <v>0.2</v>
      </c>
      <c r="N42" s="72">
        <v>0.2</v>
      </c>
      <c r="O42" s="72">
        <v>0.2</v>
      </c>
      <c r="P42" s="72">
        <v>-0.5</v>
      </c>
      <c r="Q42" s="72">
        <v>-0.5</v>
      </c>
      <c r="R42" s="72">
        <v>-0.3</v>
      </c>
      <c r="S42" s="72">
        <v>-0.3</v>
      </c>
      <c r="T42" s="72">
        <v>-0.1</v>
      </c>
      <c r="U42" s="72">
        <v>-0.1</v>
      </c>
      <c r="V42" s="72">
        <v>-0.3</v>
      </c>
      <c r="W42" s="72">
        <v>-0.3</v>
      </c>
      <c r="X42" s="72">
        <v>0.1</v>
      </c>
      <c r="Y42" s="72">
        <v>0.1</v>
      </c>
      <c r="Z42" s="72">
        <v>0.4</v>
      </c>
      <c r="AA42" s="72">
        <v>0.4</v>
      </c>
      <c r="AB42" s="72">
        <v>0</v>
      </c>
      <c r="AC42" s="72">
        <v>0</v>
      </c>
      <c r="AD42" s="72">
        <v>0.3</v>
      </c>
      <c r="AE42" s="72">
        <v>0.3</v>
      </c>
      <c r="AF42" s="72">
        <v>0.1</v>
      </c>
      <c r="AG42" s="72">
        <v>0.1</v>
      </c>
      <c r="AH42" s="72">
        <v>0.5</v>
      </c>
      <c r="AI42" s="72">
        <v>0.5</v>
      </c>
      <c r="AJ42" s="72">
        <v>0.2</v>
      </c>
      <c r="AK42" s="72">
        <v>0.2</v>
      </c>
      <c r="AL42" s="72"/>
      <c r="AM42" s="72"/>
      <c r="AN42" s="72"/>
      <c r="AO42" s="72"/>
      <c r="AP42" s="72"/>
      <c r="AQ42" s="72"/>
    </row>
    <row r="43" spans="3:43" x14ac:dyDescent="0.25">
      <c r="C43" s="72" t="s">
        <v>155</v>
      </c>
      <c r="D43" s="72">
        <v>0.1</v>
      </c>
      <c r="E43" s="72">
        <v>0.1</v>
      </c>
      <c r="F43" s="72">
        <v>0.4</v>
      </c>
      <c r="G43" s="72">
        <v>0.4</v>
      </c>
      <c r="H43" s="72">
        <v>0.3</v>
      </c>
      <c r="I43" s="72">
        <v>0.3</v>
      </c>
      <c r="J43" s="72">
        <v>0.1</v>
      </c>
      <c r="K43" s="72">
        <v>0.1</v>
      </c>
      <c r="L43" s="72">
        <v>0.1</v>
      </c>
      <c r="M43" s="72">
        <v>0.1</v>
      </c>
      <c r="N43" s="72">
        <v>0.1</v>
      </c>
      <c r="O43" s="72">
        <v>0.1</v>
      </c>
      <c r="P43" s="72">
        <v>-0.5</v>
      </c>
      <c r="Q43" s="72">
        <v>-0.5</v>
      </c>
      <c r="R43" s="72">
        <v>-0.4</v>
      </c>
      <c r="S43" s="72">
        <v>-0.4</v>
      </c>
      <c r="T43" s="72">
        <v>-0.2</v>
      </c>
      <c r="U43" s="72">
        <v>-0.2</v>
      </c>
      <c r="V43" s="72">
        <v>-0.4</v>
      </c>
      <c r="W43" s="72">
        <v>-0.4</v>
      </c>
      <c r="X43" s="72">
        <v>0.1</v>
      </c>
      <c r="Y43" s="72">
        <v>0.1</v>
      </c>
      <c r="Z43" s="72">
        <v>0.4</v>
      </c>
      <c r="AA43" s="72">
        <v>0.4</v>
      </c>
      <c r="AB43" s="72">
        <v>0</v>
      </c>
      <c r="AC43" s="72">
        <v>0</v>
      </c>
      <c r="AD43" s="72">
        <v>0.3</v>
      </c>
      <c r="AE43" s="72">
        <v>0.3</v>
      </c>
      <c r="AF43" s="72">
        <v>0.1</v>
      </c>
      <c r="AG43" s="72">
        <v>0.1</v>
      </c>
      <c r="AH43" s="72">
        <v>0.4</v>
      </c>
      <c r="AI43" s="72">
        <v>0.4</v>
      </c>
      <c r="AJ43" s="72">
        <v>0.2</v>
      </c>
      <c r="AK43" s="72">
        <v>0.2</v>
      </c>
      <c r="AL43" s="72"/>
      <c r="AM43" s="72"/>
      <c r="AN43" s="72"/>
      <c r="AO43" s="72"/>
      <c r="AP43" s="72"/>
      <c r="AQ43" s="72"/>
    </row>
    <row r="44" spans="3:43" x14ac:dyDescent="0.25"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</row>
    <row r="45" spans="3:43" ht="15" customHeight="1" x14ac:dyDescent="0.25">
      <c r="C45" s="72" t="s">
        <v>265</v>
      </c>
      <c r="D45" s="72">
        <v>1.2</v>
      </c>
      <c r="E45" s="72">
        <v>1.2</v>
      </c>
      <c r="F45" s="72">
        <v>1.4</v>
      </c>
      <c r="G45" s="72">
        <v>1.4</v>
      </c>
      <c r="H45" s="72">
        <v>1.7</v>
      </c>
      <c r="I45" s="72">
        <v>1.7</v>
      </c>
      <c r="J45" s="72">
        <v>1.6</v>
      </c>
      <c r="K45" s="72">
        <v>1.6</v>
      </c>
      <c r="L45" s="72">
        <v>1.9</v>
      </c>
      <c r="M45" s="72">
        <v>1.9</v>
      </c>
      <c r="N45" s="72">
        <v>2</v>
      </c>
      <c r="O45" s="72">
        <v>2</v>
      </c>
      <c r="P45" s="72">
        <v>0.9</v>
      </c>
      <c r="Q45" s="72">
        <v>0.9</v>
      </c>
      <c r="R45" s="72">
        <v>1.2</v>
      </c>
      <c r="S45" s="72">
        <v>1.2</v>
      </c>
      <c r="T45" s="72">
        <v>1.3</v>
      </c>
      <c r="U45" s="72">
        <v>1.3</v>
      </c>
      <c r="V45" s="72">
        <v>1.3</v>
      </c>
      <c r="W45" s="72">
        <v>1.3</v>
      </c>
      <c r="X45" s="72">
        <v>1.7</v>
      </c>
      <c r="Y45" s="72">
        <v>1.7</v>
      </c>
      <c r="Z45" s="72">
        <v>2.7</v>
      </c>
      <c r="AA45" s="72">
        <v>2.7</v>
      </c>
      <c r="AB45" s="72">
        <v>2.5</v>
      </c>
      <c r="AC45" s="72">
        <v>2.5</v>
      </c>
      <c r="AD45" s="72">
        <v>3</v>
      </c>
      <c r="AE45" s="72">
        <v>3</v>
      </c>
      <c r="AF45" s="72">
        <v>2.5</v>
      </c>
      <c r="AG45" s="72">
        <v>2.5</v>
      </c>
      <c r="AH45" s="72">
        <v>3.3</v>
      </c>
      <c r="AI45" s="72">
        <v>3.3</v>
      </c>
      <c r="AJ45" s="72">
        <v>2.8</v>
      </c>
      <c r="AK45" s="72">
        <v>2.8</v>
      </c>
      <c r="AL45" s="72"/>
      <c r="AM45" s="72"/>
      <c r="AN45" s="72"/>
      <c r="AO45" s="72"/>
      <c r="AP45" s="72"/>
      <c r="AQ45" s="72"/>
    </row>
    <row r="46" spans="3:43" x14ac:dyDescent="0.25">
      <c r="C46" s="72" t="s">
        <v>266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</row>
    <row r="47" spans="3:43" x14ac:dyDescent="0.25">
      <c r="C47" s="72" t="s">
        <v>267</v>
      </c>
      <c r="D47" s="72">
        <v>0.1</v>
      </c>
      <c r="E47" s="72">
        <v>0.1</v>
      </c>
      <c r="F47" s="72">
        <v>0.4</v>
      </c>
      <c r="G47" s="72">
        <v>0.4</v>
      </c>
      <c r="H47" s="72">
        <v>0.3</v>
      </c>
      <c r="I47" s="72">
        <v>0.3</v>
      </c>
      <c r="J47" s="72">
        <v>0.1</v>
      </c>
      <c r="K47" s="72">
        <v>0.1</v>
      </c>
      <c r="L47" s="72">
        <v>0.1</v>
      </c>
      <c r="M47" s="72">
        <v>0.1</v>
      </c>
      <c r="N47" s="72">
        <v>0.1</v>
      </c>
      <c r="O47" s="72">
        <v>0.1</v>
      </c>
      <c r="P47" s="72">
        <v>-0.5</v>
      </c>
      <c r="Q47" s="72">
        <v>-0.5</v>
      </c>
      <c r="R47" s="72">
        <v>-0.4</v>
      </c>
      <c r="S47" s="72">
        <v>-0.4</v>
      </c>
      <c r="T47" s="72">
        <v>-0.2</v>
      </c>
      <c r="U47" s="72">
        <v>-0.2</v>
      </c>
      <c r="V47" s="72">
        <v>-0.4</v>
      </c>
      <c r="W47" s="72">
        <v>-0.4</v>
      </c>
      <c r="X47" s="72">
        <v>0.1</v>
      </c>
      <c r="Y47" s="72">
        <v>0.1</v>
      </c>
      <c r="Z47" s="72">
        <v>0.4</v>
      </c>
      <c r="AA47" s="72">
        <v>0.4</v>
      </c>
      <c r="AB47" s="72">
        <v>0</v>
      </c>
      <c r="AC47" s="72">
        <v>0</v>
      </c>
      <c r="AD47" s="72">
        <v>0.3</v>
      </c>
      <c r="AE47" s="72">
        <v>0.3</v>
      </c>
      <c r="AF47" s="72">
        <v>0.1</v>
      </c>
      <c r="AG47" s="72">
        <v>0.1</v>
      </c>
      <c r="AH47" s="72">
        <v>0.4</v>
      </c>
      <c r="AI47" s="72">
        <v>0.4</v>
      </c>
      <c r="AJ47" s="72">
        <v>0.2</v>
      </c>
      <c r="AK47" s="72">
        <v>0.2</v>
      </c>
      <c r="AL47" s="72"/>
      <c r="AM47" s="72"/>
      <c r="AN47" s="72"/>
      <c r="AO47" s="72"/>
      <c r="AP47" s="72"/>
      <c r="AQ47" s="72"/>
    </row>
    <row r="48" spans="3:43" x14ac:dyDescent="0.25">
      <c r="C48" s="52" t="s">
        <v>267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</row>
  </sheetData>
  <mergeCells count="2">
    <mergeCell ref="C2:E2"/>
    <mergeCell ref="C6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C1:AQ56"/>
  <sheetViews>
    <sheetView showGridLines="0" workbookViewId="0">
      <pane xSplit="3" ySplit="10" topLeftCell="Z42" activePane="bottomRight" state="frozen"/>
      <selection pane="topRight" activeCell="D1" sqref="D1"/>
      <selection pane="bottomLeft" activeCell="A11" sqref="A11"/>
      <selection pane="bottomRight" activeCell="AK51" sqref="AK51"/>
    </sheetView>
  </sheetViews>
  <sheetFormatPr defaultColWidth="15" defaultRowHeight="15" customHeight="1" x14ac:dyDescent="0.25"/>
  <cols>
    <col min="1" max="2" width="2" customWidth="1"/>
    <col min="3" max="3" width="25" customWidth="1"/>
  </cols>
  <sheetData>
    <row r="1" spans="3:43" ht="13.5" customHeight="1" x14ac:dyDescent="0.25"/>
    <row r="2" spans="3:43" ht="33" customHeight="1" x14ac:dyDescent="0.4">
      <c r="C2" s="80" t="s">
        <v>171</v>
      </c>
      <c r="D2" s="78"/>
      <c r="E2" s="78"/>
    </row>
    <row r="3" spans="3:43" x14ac:dyDescent="0.25">
      <c r="C3" s="66" t="s">
        <v>172</v>
      </c>
    </row>
    <row r="6" spans="3:43" x14ac:dyDescent="0.25">
      <c r="C6" s="81" t="s">
        <v>268</v>
      </c>
      <c r="D6" s="78"/>
      <c r="E6" s="67"/>
      <c r="F6" s="67"/>
      <c r="G6" s="67"/>
      <c r="H6" s="67"/>
      <c r="I6" s="67"/>
      <c r="J6" s="67"/>
      <c r="K6" s="67"/>
      <c r="L6" s="67"/>
    </row>
    <row r="8" spans="3:43" ht="33" customHeight="1" x14ac:dyDescent="0.25">
      <c r="C8" s="68"/>
      <c r="D8" s="68" t="s">
        <v>174</v>
      </c>
      <c r="E8" s="68" t="s">
        <v>175</v>
      </c>
      <c r="F8" s="68" t="s">
        <v>176</v>
      </c>
      <c r="G8" s="68" t="s">
        <v>177</v>
      </c>
      <c r="H8" s="68" t="s">
        <v>178</v>
      </c>
      <c r="I8" s="68" t="s">
        <v>179</v>
      </c>
      <c r="J8" s="68" t="s">
        <v>180</v>
      </c>
      <c r="K8" s="68" t="s">
        <v>181</v>
      </c>
      <c r="L8" s="68" t="s">
        <v>182</v>
      </c>
      <c r="M8" s="68" t="s">
        <v>183</v>
      </c>
      <c r="N8" s="68" t="s">
        <v>184</v>
      </c>
      <c r="O8" s="68" t="s">
        <v>185</v>
      </c>
      <c r="P8" s="68" t="s">
        <v>186</v>
      </c>
      <c r="Q8" s="68" t="s">
        <v>187</v>
      </c>
      <c r="R8" s="68" t="s">
        <v>188</v>
      </c>
      <c r="S8" s="68" t="s">
        <v>189</v>
      </c>
      <c r="T8" s="68" t="s">
        <v>190</v>
      </c>
      <c r="U8" s="68" t="s">
        <v>191</v>
      </c>
      <c r="V8" s="68" t="s">
        <v>192</v>
      </c>
      <c r="W8" s="68" t="s">
        <v>193</v>
      </c>
      <c r="X8" s="68" t="s">
        <v>194</v>
      </c>
      <c r="Y8" s="68" t="s">
        <v>195</v>
      </c>
      <c r="Z8" s="68" t="s">
        <v>196</v>
      </c>
      <c r="AA8" s="68" t="s">
        <v>197</v>
      </c>
      <c r="AB8" s="68" t="s">
        <v>198</v>
      </c>
      <c r="AC8" s="68" t="s">
        <v>199</v>
      </c>
      <c r="AD8" s="68" t="s">
        <v>200</v>
      </c>
      <c r="AE8" s="68" t="s">
        <v>201</v>
      </c>
      <c r="AF8" s="68" t="s">
        <v>202</v>
      </c>
      <c r="AG8" s="68" t="s">
        <v>203</v>
      </c>
      <c r="AH8" s="68" t="s">
        <v>204</v>
      </c>
      <c r="AI8" s="68" t="s">
        <v>205</v>
      </c>
      <c r="AJ8" s="68" t="s">
        <v>206</v>
      </c>
      <c r="AK8" s="68" t="s">
        <v>207</v>
      </c>
      <c r="AL8" s="68"/>
      <c r="AM8" s="68"/>
      <c r="AN8" s="68"/>
      <c r="AO8" s="68"/>
      <c r="AP8" s="68"/>
      <c r="AQ8" s="68"/>
    </row>
    <row r="10" spans="3:43" x14ac:dyDescent="0.25">
      <c r="C10" s="68" t="s">
        <v>208</v>
      </c>
      <c r="D10" s="68" t="s">
        <v>15</v>
      </c>
      <c r="E10" s="68" t="s">
        <v>16</v>
      </c>
      <c r="F10" s="68" t="s">
        <v>17</v>
      </c>
      <c r="G10" s="68" t="s">
        <v>18</v>
      </c>
      <c r="H10" s="68" t="s">
        <v>19</v>
      </c>
      <c r="I10" s="68" t="s">
        <v>20</v>
      </c>
      <c r="J10" s="68" t="s">
        <v>21</v>
      </c>
      <c r="K10" s="68" t="s">
        <v>22</v>
      </c>
      <c r="L10" s="68" t="s">
        <v>23</v>
      </c>
      <c r="M10" s="68" t="s">
        <v>24</v>
      </c>
      <c r="N10" s="68" t="s">
        <v>25</v>
      </c>
      <c r="O10" s="68" t="s">
        <v>26</v>
      </c>
      <c r="P10" s="68" t="s">
        <v>27</v>
      </c>
      <c r="Q10" s="68" t="s">
        <v>28</v>
      </c>
      <c r="R10" s="68" t="s">
        <v>29</v>
      </c>
      <c r="S10" s="68" t="s">
        <v>30</v>
      </c>
      <c r="T10" s="68" t="s">
        <v>31</v>
      </c>
      <c r="U10" s="68" t="s">
        <v>32</v>
      </c>
      <c r="V10" s="68" t="s">
        <v>33</v>
      </c>
      <c r="W10" s="68" t="s">
        <v>34</v>
      </c>
      <c r="X10" s="68" t="s">
        <v>35</v>
      </c>
      <c r="Y10" s="68" t="s">
        <v>36</v>
      </c>
      <c r="Z10" s="68" t="s">
        <v>37</v>
      </c>
      <c r="AA10" s="68" t="s">
        <v>38</v>
      </c>
      <c r="AB10" s="68" t="s">
        <v>39</v>
      </c>
      <c r="AC10" s="68" t="s">
        <v>40</v>
      </c>
      <c r="AD10" s="68" t="s">
        <v>41</v>
      </c>
      <c r="AE10" s="68" t="s">
        <v>42</v>
      </c>
      <c r="AF10" s="68" t="s">
        <v>43</v>
      </c>
      <c r="AG10" s="68" t="s">
        <v>44</v>
      </c>
      <c r="AH10" s="68" t="s">
        <v>45</v>
      </c>
      <c r="AI10" s="68" t="s">
        <v>46</v>
      </c>
      <c r="AJ10" s="68" t="s">
        <v>47</v>
      </c>
      <c r="AK10" s="68" t="s">
        <v>48</v>
      </c>
      <c r="AL10" s="68"/>
      <c r="AM10" s="68"/>
      <c r="AN10" s="68"/>
      <c r="AO10" s="68"/>
      <c r="AP10" s="68"/>
      <c r="AQ10" s="68"/>
    </row>
    <row r="12" spans="3:43" x14ac:dyDescent="0.25">
      <c r="C12" s="68" t="s">
        <v>269</v>
      </c>
      <c r="D12" s="68"/>
      <c r="E12" s="68"/>
      <c r="F12" s="68">
        <v>0.9</v>
      </c>
      <c r="G12" s="68">
        <v>0.9</v>
      </c>
      <c r="H12" s="68">
        <v>1</v>
      </c>
      <c r="I12" s="68">
        <v>1</v>
      </c>
      <c r="J12" s="68">
        <v>1</v>
      </c>
      <c r="K12" s="68">
        <v>1</v>
      </c>
      <c r="L12" s="68">
        <v>5.4</v>
      </c>
      <c r="M12" s="68">
        <v>5.4</v>
      </c>
      <c r="N12" s="68">
        <v>5.8</v>
      </c>
      <c r="O12" s="68">
        <v>5.8</v>
      </c>
      <c r="P12" s="68">
        <v>4.8</v>
      </c>
      <c r="Q12" s="68">
        <v>4.8</v>
      </c>
      <c r="R12" s="68">
        <v>4.4000000000000004</v>
      </c>
      <c r="S12" s="68">
        <v>4.4000000000000004</v>
      </c>
      <c r="T12" s="68">
        <v>5.9</v>
      </c>
      <c r="U12" s="68">
        <v>5.9</v>
      </c>
      <c r="V12" s="68">
        <v>4.7</v>
      </c>
      <c r="W12" s="68">
        <v>4.7</v>
      </c>
      <c r="X12" s="68">
        <v>4.0999999999999996</v>
      </c>
      <c r="Y12" s="68">
        <v>4.0999999999999996</v>
      </c>
      <c r="Z12" s="68">
        <v>3.7</v>
      </c>
      <c r="AA12" s="68">
        <v>3.7</v>
      </c>
      <c r="AB12" s="68">
        <v>1.8</v>
      </c>
      <c r="AC12" s="68">
        <v>1.8</v>
      </c>
      <c r="AD12" s="68">
        <v>1.9</v>
      </c>
      <c r="AE12" s="68">
        <v>1.9</v>
      </c>
      <c r="AF12" s="68">
        <v>1.7</v>
      </c>
      <c r="AG12" s="68">
        <v>1.7</v>
      </c>
      <c r="AH12" s="68">
        <v>2.5</v>
      </c>
      <c r="AI12" s="68">
        <v>2.5</v>
      </c>
      <c r="AJ12" s="68">
        <v>2.2999999999999998</v>
      </c>
      <c r="AK12" s="68">
        <v>2.2999999999999998</v>
      </c>
      <c r="AL12" s="68"/>
      <c r="AM12" s="68"/>
      <c r="AN12" s="68"/>
      <c r="AO12" s="68"/>
      <c r="AP12" s="68"/>
      <c r="AQ12" s="68"/>
    </row>
    <row r="13" spans="3:43" x14ac:dyDescent="0.25">
      <c r="C13" s="68" t="s">
        <v>270</v>
      </c>
      <c r="D13" s="68"/>
      <c r="E13" s="68"/>
      <c r="F13" s="68">
        <v>0</v>
      </c>
      <c r="G13" s="68">
        <v>0</v>
      </c>
      <c r="H13" s="68">
        <v>0.1</v>
      </c>
      <c r="I13" s="68">
        <v>0.1</v>
      </c>
      <c r="J13" s="68">
        <v>0</v>
      </c>
      <c r="K13" s="68">
        <v>0</v>
      </c>
      <c r="L13" s="68"/>
      <c r="M13" s="68"/>
      <c r="N13" s="68">
        <v>0</v>
      </c>
      <c r="O13" s="68">
        <v>0</v>
      </c>
      <c r="P13" s="68"/>
      <c r="Q13" s="68"/>
      <c r="R13" s="68">
        <v>0.1</v>
      </c>
      <c r="S13" s="68">
        <v>0.1</v>
      </c>
      <c r="T13" s="68"/>
      <c r="U13" s="68"/>
      <c r="V13" s="68">
        <v>0.2</v>
      </c>
      <c r="W13" s="68">
        <v>0.2</v>
      </c>
      <c r="X13" s="68"/>
      <c r="Y13" s="68"/>
      <c r="Z13" s="68">
        <v>0.1</v>
      </c>
      <c r="AA13" s="68">
        <v>0.1</v>
      </c>
      <c r="AB13" s="68"/>
      <c r="AC13" s="68"/>
      <c r="AD13" s="68">
        <v>0</v>
      </c>
      <c r="AE13" s="68">
        <v>0</v>
      </c>
      <c r="AF13" s="68"/>
      <c r="AG13" s="68"/>
      <c r="AH13" s="68">
        <v>0.2</v>
      </c>
      <c r="AI13" s="68">
        <v>0.2</v>
      </c>
      <c r="AJ13" s="68"/>
      <c r="AK13" s="68"/>
      <c r="AL13" s="68"/>
      <c r="AM13" s="68"/>
      <c r="AN13" s="68"/>
      <c r="AO13" s="68"/>
      <c r="AP13" s="68"/>
      <c r="AQ13" s="68"/>
    </row>
    <row r="14" spans="3:43" x14ac:dyDescent="0.25">
      <c r="C14" s="68" t="s">
        <v>271</v>
      </c>
      <c r="D14" s="68"/>
      <c r="E14" s="68"/>
      <c r="F14" s="68">
        <v>0.2</v>
      </c>
      <c r="G14" s="68">
        <v>0.2</v>
      </c>
      <c r="H14" s="68">
        <v>0.2</v>
      </c>
      <c r="I14" s="68">
        <v>0.2</v>
      </c>
      <c r="J14" s="68">
        <v>0.1</v>
      </c>
      <c r="K14" s="68">
        <v>0.1</v>
      </c>
      <c r="L14" s="68">
        <v>0.6</v>
      </c>
      <c r="M14" s="68">
        <v>0.6</v>
      </c>
      <c r="N14" s="68">
        <v>0.1</v>
      </c>
      <c r="O14" s="68">
        <v>0.1</v>
      </c>
      <c r="P14" s="68">
        <v>0.9</v>
      </c>
      <c r="Q14" s="68">
        <v>0.9</v>
      </c>
      <c r="R14" s="68">
        <v>0.1</v>
      </c>
      <c r="S14" s="68">
        <v>0.1</v>
      </c>
      <c r="T14" s="68">
        <v>0.6</v>
      </c>
      <c r="U14" s="68">
        <v>0.6</v>
      </c>
      <c r="V14" s="68">
        <v>0.1</v>
      </c>
      <c r="W14" s="68">
        <v>0.1</v>
      </c>
      <c r="X14" s="68">
        <v>0.6</v>
      </c>
      <c r="Y14" s="68">
        <v>0.6</v>
      </c>
      <c r="Z14" s="68">
        <v>0.2</v>
      </c>
      <c r="AA14" s="68">
        <v>0.2</v>
      </c>
      <c r="AB14" s="68">
        <v>0.7</v>
      </c>
      <c r="AC14" s="68">
        <v>0.7</v>
      </c>
      <c r="AD14" s="68">
        <v>0.4</v>
      </c>
      <c r="AE14" s="68">
        <v>0.4</v>
      </c>
      <c r="AF14" s="68">
        <v>0.7</v>
      </c>
      <c r="AG14" s="68">
        <v>0.7</v>
      </c>
      <c r="AH14" s="68">
        <v>0.2</v>
      </c>
      <c r="AI14" s="68">
        <v>0.2</v>
      </c>
      <c r="AJ14" s="68">
        <v>0.7</v>
      </c>
      <c r="AK14" s="68">
        <v>0.7</v>
      </c>
      <c r="AL14" s="68"/>
      <c r="AM14" s="68"/>
      <c r="AN14" s="68"/>
      <c r="AO14" s="68"/>
      <c r="AP14" s="68"/>
      <c r="AQ14" s="68"/>
    </row>
    <row r="15" spans="3:43" x14ac:dyDescent="0.25">
      <c r="C15" s="68" t="s">
        <v>51</v>
      </c>
      <c r="D15" s="68"/>
      <c r="E15" s="68"/>
      <c r="F15" s="68">
        <v>2.6</v>
      </c>
      <c r="G15" s="68">
        <v>2.6</v>
      </c>
      <c r="H15" s="68">
        <v>2.6</v>
      </c>
      <c r="I15" s="68">
        <v>2.6</v>
      </c>
      <c r="J15" s="68">
        <v>2.8</v>
      </c>
      <c r="K15" s="68">
        <v>2.8</v>
      </c>
      <c r="L15" s="68">
        <v>2.8</v>
      </c>
      <c r="M15" s="68">
        <v>2.8</v>
      </c>
      <c r="N15" s="68">
        <v>3.2</v>
      </c>
      <c r="O15" s="68">
        <v>3.2</v>
      </c>
      <c r="P15" s="68">
        <v>3.3</v>
      </c>
      <c r="Q15" s="68">
        <v>3.3</v>
      </c>
      <c r="R15" s="68">
        <v>4</v>
      </c>
      <c r="S15" s="68">
        <v>4</v>
      </c>
      <c r="T15" s="68">
        <v>4.5</v>
      </c>
      <c r="U15" s="68">
        <v>4.5</v>
      </c>
      <c r="V15" s="68">
        <v>5.5</v>
      </c>
      <c r="W15" s="68">
        <v>5.5</v>
      </c>
      <c r="X15" s="68">
        <v>6.1</v>
      </c>
      <c r="Y15" s="68">
        <v>6.1</v>
      </c>
      <c r="Z15" s="68">
        <v>7.4</v>
      </c>
      <c r="AA15" s="68">
        <v>7.4</v>
      </c>
      <c r="AB15" s="68">
        <v>8.6</v>
      </c>
      <c r="AC15" s="68">
        <v>8.6</v>
      </c>
      <c r="AD15" s="68">
        <v>9</v>
      </c>
      <c r="AE15" s="68">
        <v>9</v>
      </c>
      <c r="AF15" s="68">
        <v>9.4</v>
      </c>
      <c r="AG15" s="68">
        <v>9.4</v>
      </c>
      <c r="AH15" s="68">
        <v>9.3000000000000007</v>
      </c>
      <c r="AI15" s="68">
        <v>9.3000000000000007</v>
      </c>
      <c r="AJ15" s="68">
        <v>9.6</v>
      </c>
      <c r="AK15" s="68">
        <v>9.6</v>
      </c>
      <c r="AL15" s="68"/>
      <c r="AM15" s="68"/>
      <c r="AN15" s="68"/>
      <c r="AO15" s="68"/>
      <c r="AP15" s="68"/>
      <c r="AQ15" s="68"/>
    </row>
    <row r="16" spans="3:43" x14ac:dyDescent="0.25">
      <c r="C16" s="68" t="s">
        <v>272</v>
      </c>
      <c r="D16" s="68"/>
      <c r="E16" s="68"/>
      <c r="F16" s="68">
        <v>0</v>
      </c>
      <c r="G16" s="68">
        <v>0</v>
      </c>
      <c r="H16" s="68">
        <v>0</v>
      </c>
      <c r="I16" s="68">
        <v>0</v>
      </c>
      <c r="J16" s="68">
        <v>0</v>
      </c>
      <c r="K16" s="68">
        <v>0</v>
      </c>
      <c r="L16" s="68"/>
      <c r="M16" s="68"/>
      <c r="N16" s="68">
        <v>0.1</v>
      </c>
      <c r="O16" s="68">
        <v>0.1</v>
      </c>
      <c r="P16" s="68"/>
      <c r="Q16" s="68"/>
      <c r="R16" s="68">
        <v>0.1</v>
      </c>
      <c r="S16" s="68">
        <v>0.1</v>
      </c>
      <c r="T16" s="68"/>
      <c r="U16" s="68"/>
      <c r="V16" s="68">
        <v>0.1</v>
      </c>
      <c r="W16" s="68">
        <v>0.1</v>
      </c>
      <c r="X16" s="68"/>
      <c r="Y16" s="68"/>
      <c r="Z16" s="68">
        <v>0.1</v>
      </c>
      <c r="AA16" s="68">
        <v>0.1</v>
      </c>
      <c r="AB16" s="68"/>
      <c r="AC16" s="68"/>
      <c r="AD16" s="68">
        <v>0.1</v>
      </c>
      <c r="AE16" s="68">
        <v>0.1</v>
      </c>
      <c r="AF16" s="68"/>
      <c r="AG16" s="68"/>
      <c r="AH16" s="68">
        <v>0.1</v>
      </c>
      <c r="AI16" s="68">
        <v>0.1</v>
      </c>
      <c r="AJ16" s="68"/>
      <c r="AK16" s="68"/>
      <c r="AL16" s="68"/>
      <c r="AM16" s="68"/>
      <c r="AN16" s="68"/>
      <c r="AO16" s="68"/>
      <c r="AP16" s="68"/>
      <c r="AQ16" s="68"/>
    </row>
    <row r="17" spans="3:43" x14ac:dyDescent="0.25">
      <c r="C17" s="68" t="s">
        <v>273</v>
      </c>
      <c r="D17" s="68">
        <v>0</v>
      </c>
      <c r="E17" s="68">
        <v>0</v>
      </c>
      <c r="F17" s="68">
        <v>0.4</v>
      </c>
      <c r="G17" s="68">
        <v>0.4</v>
      </c>
      <c r="H17" s="68">
        <v>0.3</v>
      </c>
      <c r="I17" s="68">
        <v>0.3</v>
      </c>
      <c r="J17" s="68">
        <v>0.3</v>
      </c>
      <c r="K17" s="68">
        <v>0.3</v>
      </c>
      <c r="L17" s="68">
        <v>0</v>
      </c>
      <c r="M17" s="68">
        <v>0</v>
      </c>
      <c r="N17" s="68">
        <v>0.3</v>
      </c>
      <c r="O17" s="68">
        <v>0.3</v>
      </c>
      <c r="P17" s="68">
        <v>0</v>
      </c>
      <c r="Q17" s="68">
        <v>0</v>
      </c>
      <c r="R17" s="68">
        <v>0.3</v>
      </c>
      <c r="S17" s="68">
        <v>0.3</v>
      </c>
      <c r="T17" s="68">
        <v>0</v>
      </c>
      <c r="U17" s="68">
        <v>0</v>
      </c>
      <c r="V17" s="68">
        <v>0.3</v>
      </c>
      <c r="W17" s="68">
        <v>0.3</v>
      </c>
      <c r="X17" s="68">
        <v>0</v>
      </c>
      <c r="Y17" s="68">
        <v>0</v>
      </c>
      <c r="Z17" s="68">
        <v>0.3</v>
      </c>
      <c r="AA17" s="68">
        <v>0.3</v>
      </c>
      <c r="AB17" s="68">
        <v>0</v>
      </c>
      <c r="AC17" s="68">
        <v>0</v>
      </c>
      <c r="AD17" s="68">
        <v>0.2</v>
      </c>
      <c r="AE17" s="68">
        <v>0.2</v>
      </c>
      <c r="AF17" s="68">
        <v>0</v>
      </c>
      <c r="AG17" s="68">
        <v>0</v>
      </c>
      <c r="AH17" s="68">
        <v>0.1</v>
      </c>
      <c r="AI17" s="68">
        <v>0.1</v>
      </c>
      <c r="AJ17" s="68">
        <v>0</v>
      </c>
      <c r="AK17" s="68">
        <v>0</v>
      </c>
      <c r="AL17" s="68"/>
      <c r="AM17" s="68"/>
      <c r="AN17" s="68"/>
      <c r="AO17" s="68"/>
      <c r="AP17" s="68"/>
      <c r="AQ17" s="68"/>
    </row>
    <row r="18" spans="3:43" x14ac:dyDescent="0.25">
      <c r="C18" s="68" t="s">
        <v>274</v>
      </c>
      <c r="D18" s="68"/>
      <c r="E18" s="68"/>
      <c r="F18" s="68">
        <v>4</v>
      </c>
      <c r="G18" s="68">
        <v>4</v>
      </c>
      <c r="H18" s="68">
        <v>4.2</v>
      </c>
      <c r="I18" s="68">
        <v>4.2</v>
      </c>
      <c r="J18" s="68">
        <v>4.3</v>
      </c>
      <c r="K18" s="68">
        <v>4.3</v>
      </c>
      <c r="L18" s="68">
        <v>8.8000000000000007</v>
      </c>
      <c r="M18" s="68">
        <v>8.8000000000000007</v>
      </c>
      <c r="N18" s="68">
        <v>9.4</v>
      </c>
      <c r="O18" s="68">
        <v>9.4</v>
      </c>
      <c r="P18" s="68">
        <v>9</v>
      </c>
      <c r="Q18" s="68">
        <v>9</v>
      </c>
      <c r="R18" s="68">
        <v>8.9</v>
      </c>
      <c r="S18" s="68">
        <v>8.9</v>
      </c>
      <c r="T18" s="68">
        <v>11</v>
      </c>
      <c r="U18" s="68">
        <v>11</v>
      </c>
      <c r="V18" s="68">
        <v>10.8</v>
      </c>
      <c r="W18" s="68">
        <v>10.8</v>
      </c>
      <c r="X18" s="68">
        <v>10.8</v>
      </c>
      <c r="Y18" s="68">
        <v>10.8</v>
      </c>
      <c r="Z18" s="68">
        <v>11.7</v>
      </c>
      <c r="AA18" s="68">
        <v>11.7</v>
      </c>
      <c r="AB18" s="68">
        <v>11.1</v>
      </c>
      <c r="AC18" s="68">
        <v>11.1</v>
      </c>
      <c r="AD18" s="68">
        <v>11.7</v>
      </c>
      <c r="AE18" s="68">
        <v>11.7</v>
      </c>
      <c r="AF18" s="68">
        <v>11.8</v>
      </c>
      <c r="AG18" s="68">
        <v>11.8</v>
      </c>
      <c r="AH18" s="68">
        <v>12.3</v>
      </c>
      <c r="AI18" s="68">
        <v>12.3</v>
      </c>
      <c r="AJ18" s="68">
        <v>12.6</v>
      </c>
      <c r="AK18" s="68">
        <v>12.6</v>
      </c>
      <c r="AL18" s="68"/>
      <c r="AM18" s="68"/>
      <c r="AN18" s="68"/>
      <c r="AO18" s="68"/>
      <c r="AP18" s="68"/>
      <c r="AQ18" s="68"/>
    </row>
    <row r="20" spans="3:43" x14ac:dyDescent="0.25">
      <c r="C20" s="68" t="s">
        <v>275</v>
      </c>
      <c r="D20" s="68"/>
      <c r="E20" s="68"/>
      <c r="F20" s="68">
        <v>0.6</v>
      </c>
      <c r="G20" s="68">
        <v>0.6</v>
      </c>
      <c r="H20" s="68">
        <v>0.5</v>
      </c>
      <c r="I20" s="68">
        <v>0.5</v>
      </c>
      <c r="J20" s="68">
        <v>1.2</v>
      </c>
      <c r="K20" s="68">
        <v>1.2</v>
      </c>
      <c r="L20" s="68">
        <v>2.8</v>
      </c>
      <c r="M20" s="68">
        <v>2.8</v>
      </c>
      <c r="N20" s="68">
        <v>3.1</v>
      </c>
      <c r="O20" s="68">
        <v>3.1</v>
      </c>
      <c r="P20" s="68">
        <v>2.4</v>
      </c>
      <c r="Q20" s="68">
        <v>2.4</v>
      </c>
      <c r="R20" s="68">
        <v>0.9</v>
      </c>
      <c r="S20" s="68">
        <v>0.9</v>
      </c>
      <c r="T20" s="68">
        <v>0.7</v>
      </c>
      <c r="U20" s="68">
        <v>0.7</v>
      </c>
      <c r="V20" s="68">
        <v>0.5</v>
      </c>
      <c r="W20" s="68">
        <v>0.5</v>
      </c>
      <c r="X20" s="68">
        <v>0.6</v>
      </c>
      <c r="Y20" s="68">
        <v>0.6</v>
      </c>
      <c r="Z20" s="68">
        <v>2.6</v>
      </c>
      <c r="AA20" s="68">
        <v>2.6</v>
      </c>
      <c r="AB20" s="68">
        <v>3</v>
      </c>
      <c r="AC20" s="68">
        <v>3</v>
      </c>
      <c r="AD20" s="68">
        <v>3.1</v>
      </c>
      <c r="AE20" s="68">
        <v>3.1</v>
      </c>
      <c r="AF20" s="68">
        <v>2.4</v>
      </c>
      <c r="AG20" s="68">
        <v>2.4</v>
      </c>
      <c r="AH20" s="68">
        <v>1.5</v>
      </c>
      <c r="AI20" s="68">
        <v>1.5</v>
      </c>
      <c r="AJ20" s="68">
        <v>1.3</v>
      </c>
      <c r="AK20" s="68">
        <v>1.3</v>
      </c>
      <c r="AL20" s="68"/>
      <c r="AM20" s="68"/>
      <c r="AN20" s="68"/>
      <c r="AO20" s="68"/>
      <c r="AP20" s="68"/>
      <c r="AQ20" s="68"/>
    </row>
    <row r="21" spans="3:43" x14ac:dyDescent="0.25">
      <c r="C21" s="68" t="s">
        <v>276</v>
      </c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</row>
    <row r="22" spans="3:43" x14ac:dyDescent="0.25">
      <c r="C22" s="68" t="s">
        <v>277</v>
      </c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>
        <v>0</v>
      </c>
      <c r="O22" s="68">
        <v>0</v>
      </c>
      <c r="P22" s="68">
        <v>0</v>
      </c>
      <c r="Q22" s="68">
        <v>0</v>
      </c>
      <c r="R22" s="68">
        <v>0</v>
      </c>
      <c r="S22" s="68">
        <v>0</v>
      </c>
      <c r="T22" s="68">
        <v>0</v>
      </c>
      <c r="U22" s="68">
        <v>0</v>
      </c>
      <c r="V22" s="68">
        <v>0</v>
      </c>
      <c r="W22" s="68">
        <v>0</v>
      </c>
      <c r="X22" s="68">
        <v>0</v>
      </c>
      <c r="Y22" s="68">
        <v>0</v>
      </c>
      <c r="Z22" s="68">
        <v>0</v>
      </c>
      <c r="AA22" s="68">
        <v>0</v>
      </c>
      <c r="AB22" s="68"/>
      <c r="AC22" s="68"/>
      <c r="AD22" s="68">
        <v>0</v>
      </c>
      <c r="AE22" s="68">
        <v>0</v>
      </c>
      <c r="AF22" s="68">
        <v>0</v>
      </c>
      <c r="AG22" s="68">
        <v>0</v>
      </c>
      <c r="AH22" s="68">
        <v>0</v>
      </c>
      <c r="AI22" s="68">
        <v>0</v>
      </c>
      <c r="AJ22" s="68"/>
      <c r="AK22" s="68"/>
      <c r="AL22" s="68"/>
      <c r="AM22" s="68"/>
      <c r="AN22" s="68"/>
      <c r="AO22" s="68"/>
      <c r="AP22" s="68"/>
      <c r="AQ22" s="68"/>
    </row>
    <row r="23" spans="3:43" x14ac:dyDescent="0.25">
      <c r="C23" s="68" t="s">
        <v>278</v>
      </c>
      <c r="D23" s="68"/>
      <c r="E23" s="68"/>
      <c r="F23" s="68">
        <v>0</v>
      </c>
      <c r="G23" s="68">
        <v>0</v>
      </c>
      <c r="H23" s="68">
        <v>0</v>
      </c>
      <c r="I23" s="68">
        <v>0</v>
      </c>
      <c r="J23" s="68">
        <v>0</v>
      </c>
      <c r="K23" s="68">
        <v>0</v>
      </c>
      <c r="L23" s="68">
        <v>0</v>
      </c>
      <c r="M23" s="68">
        <v>0</v>
      </c>
      <c r="N23" s="68">
        <v>0</v>
      </c>
      <c r="O23" s="68">
        <v>0</v>
      </c>
      <c r="P23" s="68">
        <v>0</v>
      </c>
      <c r="Q23" s="68">
        <v>0</v>
      </c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</row>
    <row r="24" spans="3:43" x14ac:dyDescent="0.25">
      <c r="C24" s="68" t="s">
        <v>279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</row>
    <row r="25" spans="3:43" x14ac:dyDescent="0.25">
      <c r="C25" s="68" t="s">
        <v>280</v>
      </c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>
        <v>0</v>
      </c>
      <c r="O25" s="68">
        <v>0</v>
      </c>
      <c r="P25" s="68">
        <v>0</v>
      </c>
      <c r="Q25" s="68">
        <v>0</v>
      </c>
      <c r="R25" s="68">
        <v>0</v>
      </c>
      <c r="S25" s="68">
        <v>0</v>
      </c>
      <c r="T25" s="68">
        <v>0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/>
      <c r="AC25" s="68"/>
      <c r="AD25" s="68">
        <v>0</v>
      </c>
      <c r="AE25" s="68">
        <v>0</v>
      </c>
      <c r="AF25" s="68">
        <v>0</v>
      </c>
      <c r="AG25" s="68">
        <v>0</v>
      </c>
      <c r="AH25" s="68">
        <v>0</v>
      </c>
      <c r="AI25" s="68">
        <v>0</v>
      </c>
      <c r="AJ25" s="68">
        <v>0</v>
      </c>
      <c r="AK25" s="68">
        <v>0</v>
      </c>
      <c r="AL25" s="68"/>
      <c r="AM25" s="68"/>
      <c r="AN25" s="68"/>
      <c r="AO25" s="68"/>
      <c r="AP25" s="68"/>
      <c r="AQ25" s="68"/>
    </row>
    <row r="26" spans="3:43" x14ac:dyDescent="0.25">
      <c r="C26" s="68" t="s">
        <v>281</v>
      </c>
      <c r="D26" s="68">
        <v>0</v>
      </c>
      <c r="E26" s="68">
        <v>0</v>
      </c>
      <c r="F26" s="68">
        <v>0.2</v>
      </c>
      <c r="G26" s="68">
        <v>0.2</v>
      </c>
      <c r="H26" s="68">
        <v>0.2</v>
      </c>
      <c r="I26" s="68">
        <v>0.2</v>
      </c>
      <c r="J26" s="68">
        <v>0.3</v>
      </c>
      <c r="K26" s="68">
        <v>0.3</v>
      </c>
      <c r="L26" s="68">
        <v>0.3</v>
      </c>
      <c r="M26" s="68">
        <v>0.3</v>
      </c>
      <c r="N26" s="68">
        <v>0.4</v>
      </c>
      <c r="O26" s="68">
        <v>0.4</v>
      </c>
      <c r="P26" s="68">
        <v>0.4</v>
      </c>
      <c r="Q26" s="68">
        <v>0.4</v>
      </c>
      <c r="R26" s="68">
        <v>0.3</v>
      </c>
      <c r="S26" s="68">
        <v>0.3</v>
      </c>
      <c r="T26" s="68">
        <v>0.3</v>
      </c>
      <c r="U26" s="68">
        <v>0.3</v>
      </c>
      <c r="V26" s="68">
        <v>0.1</v>
      </c>
      <c r="W26" s="68">
        <v>0.1</v>
      </c>
      <c r="X26" s="68">
        <v>0.1</v>
      </c>
      <c r="Y26" s="68">
        <v>0.1</v>
      </c>
      <c r="Z26" s="68">
        <v>0.2</v>
      </c>
      <c r="AA26" s="68">
        <v>0.2</v>
      </c>
      <c r="AB26" s="68">
        <v>0.3</v>
      </c>
      <c r="AC26" s="68">
        <v>0.3</v>
      </c>
      <c r="AD26" s="68">
        <v>0.4</v>
      </c>
      <c r="AE26" s="68">
        <v>0.4</v>
      </c>
      <c r="AF26" s="68">
        <v>0.4</v>
      </c>
      <c r="AG26" s="68">
        <v>0.4</v>
      </c>
      <c r="AH26" s="68">
        <v>0.2</v>
      </c>
      <c r="AI26" s="68">
        <v>0.2</v>
      </c>
      <c r="AJ26" s="68">
        <v>0.2</v>
      </c>
      <c r="AK26" s="68">
        <v>0.2</v>
      </c>
      <c r="AL26" s="68"/>
      <c r="AM26" s="68"/>
      <c r="AN26" s="68"/>
      <c r="AO26" s="68"/>
      <c r="AP26" s="68"/>
      <c r="AQ26" s="68"/>
    </row>
    <row r="27" spans="3:43" x14ac:dyDescent="0.25">
      <c r="C27" s="68" t="s">
        <v>54</v>
      </c>
      <c r="D27" s="68"/>
      <c r="E27" s="68"/>
      <c r="F27" s="68">
        <v>4.9000000000000004</v>
      </c>
      <c r="G27" s="68">
        <v>4.9000000000000004</v>
      </c>
      <c r="H27" s="68">
        <v>4.9000000000000004</v>
      </c>
      <c r="I27" s="68">
        <v>4.9000000000000004</v>
      </c>
      <c r="J27" s="68">
        <v>5.9</v>
      </c>
      <c r="K27" s="68">
        <v>5.9</v>
      </c>
      <c r="L27" s="68">
        <v>11.9</v>
      </c>
      <c r="M27" s="68">
        <v>11.9</v>
      </c>
      <c r="N27" s="68">
        <v>12.9</v>
      </c>
      <c r="O27" s="68">
        <v>12.9</v>
      </c>
      <c r="P27" s="68">
        <v>11.8</v>
      </c>
      <c r="Q27" s="68">
        <v>11.8</v>
      </c>
      <c r="R27" s="68">
        <v>10.199999999999999</v>
      </c>
      <c r="S27" s="68">
        <v>10.199999999999999</v>
      </c>
      <c r="T27" s="68">
        <v>12</v>
      </c>
      <c r="U27" s="68">
        <v>12</v>
      </c>
      <c r="V27" s="68">
        <v>11.5</v>
      </c>
      <c r="W27" s="68">
        <v>11.5</v>
      </c>
      <c r="X27" s="68">
        <v>11.5</v>
      </c>
      <c r="Y27" s="68">
        <v>11.5</v>
      </c>
      <c r="Z27" s="68">
        <v>14.5</v>
      </c>
      <c r="AA27" s="68">
        <v>14.5</v>
      </c>
      <c r="AB27" s="68">
        <v>14.4</v>
      </c>
      <c r="AC27" s="68">
        <v>14.4</v>
      </c>
      <c r="AD27" s="68">
        <v>15.1</v>
      </c>
      <c r="AE27" s="68">
        <v>15.1</v>
      </c>
      <c r="AF27" s="68">
        <v>14.6</v>
      </c>
      <c r="AG27" s="68">
        <v>14.6</v>
      </c>
      <c r="AH27" s="68">
        <v>14.1</v>
      </c>
      <c r="AI27" s="68">
        <v>14.1</v>
      </c>
      <c r="AJ27" s="68">
        <v>14.1</v>
      </c>
      <c r="AK27" s="68">
        <v>14.1</v>
      </c>
      <c r="AL27" s="68"/>
      <c r="AM27" s="68"/>
      <c r="AN27" s="68"/>
      <c r="AO27" s="68"/>
      <c r="AP27" s="68"/>
      <c r="AQ27" s="68"/>
    </row>
    <row r="29" spans="3:43" x14ac:dyDescent="0.25">
      <c r="C29" s="68" t="s">
        <v>282</v>
      </c>
      <c r="D29" s="68"/>
      <c r="E29" s="68"/>
      <c r="F29" s="68">
        <v>0.2</v>
      </c>
      <c r="G29" s="68">
        <v>0.2</v>
      </c>
      <c r="H29" s="68">
        <v>0.1</v>
      </c>
      <c r="I29" s="68">
        <v>0.1</v>
      </c>
      <c r="J29" s="68">
        <v>0.3</v>
      </c>
      <c r="K29" s="68">
        <v>0.3</v>
      </c>
      <c r="L29" s="68">
        <v>1.4</v>
      </c>
      <c r="M29" s="68">
        <v>1.4</v>
      </c>
      <c r="N29" s="68">
        <v>0.4</v>
      </c>
      <c r="O29" s="68">
        <v>0.4</v>
      </c>
      <c r="P29" s="68">
        <v>1.7</v>
      </c>
      <c r="Q29" s="68">
        <v>1.7</v>
      </c>
      <c r="R29" s="68">
        <v>0.4</v>
      </c>
      <c r="S29" s="68">
        <v>0.4</v>
      </c>
      <c r="T29" s="68">
        <v>1.5</v>
      </c>
      <c r="U29" s="68">
        <v>1.5</v>
      </c>
      <c r="V29" s="68">
        <v>0.2</v>
      </c>
      <c r="W29" s="68">
        <v>0.2</v>
      </c>
      <c r="X29" s="68">
        <v>1.6</v>
      </c>
      <c r="Y29" s="68">
        <v>1.6</v>
      </c>
      <c r="Z29" s="68">
        <v>0.7</v>
      </c>
      <c r="AA29" s="68">
        <v>0.7</v>
      </c>
      <c r="AB29" s="68">
        <v>1.9</v>
      </c>
      <c r="AC29" s="68">
        <v>1.9</v>
      </c>
      <c r="AD29" s="68">
        <v>0.6</v>
      </c>
      <c r="AE29" s="68">
        <v>0.6</v>
      </c>
      <c r="AF29" s="68">
        <v>2.2999999999999998</v>
      </c>
      <c r="AG29" s="68">
        <v>2.2999999999999998</v>
      </c>
      <c r="AH29" s="68">
        <v>0.4</v>
      </c>
      <c r="AI29" s="68">
        <v>0.4</v>
      </c>
      <c r="AJ29" s="68">
        <v>1.9</v>
      </c>
      <c r="AK29" s="68">
        <v>1.9</v>
      </c>
      <c r="AL29" s="68"/>
      <c r="AM29" s="68"/>
      <c r="AN29" s="68"/>
      <c r="AO29" s="68"/>
      <c r="AP29" s="68"/>
      <c r="AQ29" s="68"/>
    </row>
    <row r="30" spans="3:43" x14ac:dyDescent="0.25">
      <c r="C30" s="68" t="s">
        <v>283</v>
      </c>
      <c r="D30" s="68"/>
      <c r="E30" s="68"/>
      <c r="F30" s="68">
        <v>0.3</v>
      </c>
      <c r="G30" s="68">
        <v>0.3</v>
      </c>
      <c r="H30" s="68">
        <v>0.4</v>
      </c>
      <c r="I30" s="68">
        <v>0.4</v>
      </c>
      <c r="J30" s="68">
        <v>0.5</v>
      </c>
      <c r="K30" s="68">
        <v>0.5</v>
      </c>
      <c r="L30" s="68"/>
      <c r="M30" s="68"/>
      <c r="N30" s="68">
        <v>0.5</v>
      </c>
      <c r="O30" s="68">
        <v>0.5</v>
      </c>
      <c r="P30" s="68"/>
      <c r="Q30" s="68"/>
      <c r="R30" s="68">
        <v>0.5</v>
      </c>
      <c r="S30" s="68">
        <v>0.5</v>
      </c>
      <c r="T30" s="68"/>
      <c r="U30" s="68"/>
      <c r="V30" s="68">
        <v>0.5</v>
      </c>
      <c r="W30" s="68">
        <v>0.5</v>
      </c>
      <c r="X30" s="68"/>
      <c r="Y30" s="68"/>
      <c r="Z30" s="68">
        <v>0.8</v>
      </c>
      <c r="AA30" s="68">
        <v>0.8</v>
      </c>
      <c r="AB30" s="68"/>
      <c r="AC30" s="68"/>
      <c r="AD30" s="68">
        <v>0.7</v>
      </c>
      <c r="AE30" s="68">
        <v>0.7</v>
      </c>
      <c r="AF30" s="68"/>
      <c r="AG30" s="68"/>
      <c r="AH30" s="68">
        <v>1</v>
      </c>
      <c r="AI30" s="68">
        <v>1</v>
      </c>
      <c r="AJ30" s="68"/>
      <c r="AK30" s="68"/>
      <c r="AL30" s="68"/>
      <c r="AM30" s="68"/>
      <c r="AN30" s="68"/>
      <c r="AO30" s="68"/>
      <c r="AP30" s="68"/>
      <c r="AQ30" s="68"/>
    </row>
    <row r="31" spans="3:43" x14ac:dyDescent="0.25">
      <c r="C31" s="68" t="s">
        <v>284</v>
      </c>
      <c r="D31" s="68"/>
      <c r="E31" s="68"/>
      <c r="F31" s="68">
        <v>2.2999999999999998</v>
      </c>
      <c r="G31" s="68">
        <v>2.2999999999999998</v>
      </c>
      <c r="H31" s="68">
        <v>1.7</v>
      </c>
      <c r="I31" s="68">
        <v>1.7</v>
      </c>
      <c r="J31" s="68">
        <v>0.7</v>
      </c>
      <c r="K31" s="68">
        <v>0.7</v>
      </c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>
        <v>0.6</v>
      </c>
      <c r="AC31" s="68">
        <v>0.6</v>
      </c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</row>
    <row r="32" spans="3:43" x14ac:dyDescent="0.25">
      <c r="C32" s="68" t="s">
        <v>285</v>
      </c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>
        <v>0.3</v>
      </c>
      <c r="U32" s="68">
        <v>0.3</v>
      </c>
      <c r="V32" s="68">
        <v>0.6</v>
      </c>
      <c r="W32" s="68">
        <v>0.6</v>
      </c>
      <c r="X32" s="68">
        <v>0.6</v>
      </c>
      <c r="Y32" s="68">
        <v>0.6</v>
      </c>
      <c r="Z32" s="68">
        <v>0.6</v>
      </c>
      <c r="AA32" s="68">
        <v>0.6</v>
      </c>
      <c r="AB32" s="68"/>
      <c r="AC32" s="68"/>
      <c r="AD32" s="68">
        <v>0.6</v>
      </c>
      <c r="AE32" s="68">
        <v>0.6</v>
      </c>
      <c r="AF32" s="68">
        <v>0.6</v>
      </c>
      <c r="AG32" s="68">
        <v>0.6</v>
      </c>
      <c r="AH32" s="68">
        <v>0.6</v>
      </c>
      <c r="AI32" s="68">
        <v>0.6</v>
      </c>
      <c r="AJ32" s="68">
        <v>0.4</v>
      </c>
      <c r="AK32" s="68">
        <v>0.4</v>
      </c>
      <c r="AL32" s="68"/>
      <c r="AM32" s="68"/>
      <c r="AN32" s="68"/>
      <c r="AO32" s="68"/>
      <c r="AP32" s="68"/>
      <c r="AQ32" s="68"/>
    </row>
    <row r="33" spans="3:43" x14ac:dyDescent="0.25">
      <c r="C33" s="68" t="s">
        <v>286</v>
      </c>
      <c r="D33" s="68"/>
      <c r="E33" s="68"/>
      <c r="F33" s="68"/>
      <c r="G33" s="68"/>
      <c r="H33" s="68"/>
      <c r="I33" s="68"/>
      <c r="J33" s="68"/>
      <c r="K33" s="68"/>
      <c r="L33" s="68">
        <v>0.2</v>
      </c>
      <c r="M33" s="68">
        <v>0.2</v>
      </c>
      <c r="N33" s="68">
        <v>1</v>
      </c>
      <c r="O33" s="68">
        <v>1</v>
      </c>
      <c r="P33" s="68">
        <v>1</v>
      </c>
      <c r="Q33" s="68">
        <v>1</v>
      </c>
      <c r="R33" s="68">
        <v>0.8</v>
      </c>
      <c r="S33" s="68">
        <v>0.8</v>
      </c>
      <c r="T33" s="68">
        <v>0.5</v>
      </c>
      <c r="U33" s="68">
        <v>0.5</v>
      </c>
      <c r="V33" s="68">
        <v>0.5</v>
      </c>
      <c r="W33" s="68">
        <v>0.5</v>
      </c>
      <c r="X33" s="68">
        <v>0.4</v>
      </c>
      <c r="Y33" s="68">
        <v>0.4</v>
      </c>
      <c r="Z33" s="68">
        <v>0.8</v>
      </c>
      <c r="AA33" s="68">
        <v>0.8</v>
      </c>
      <c r="AB33" s="68">
        <v>1</v>
      </c>
      <c r="AC33" s="68">
        <v>1</v>
      </c>
      <c r="AD33" s="68">
        <v>1.4</v>
      </c>
      <c r="AE33" s="68">
        <v>1.4</v>
      </c>
      <c r="AF33" s="68">
        <v>1.4</v>
      </c>
      <c r="AG33" s="68">
        <v>1.4</v>
      </c>
      <c r="AH33" s="68">
        <v>1.4</v>
      </c>
      <c r="AI33" s="68">
        <v>1.4</v>
      </c>
      <c r="AJ33" s="68">
        <v>1.2</v>
      </c>
      <c r="AK33" s="68">
        <v>1.2</v>
      </c>
      <c r="AL33" s="68"/>
      <c r="AM33" s="68"/>
      <c r="AN33" s="68"/>
      <c r="AO33" s="68"/>
      <c r="AP33" s="68"/>
      <c r="AQ33" s="68"/>
    </row>
    <row r="34" spans="3:43" x14ac:dyDescent="0.25">
      <c r="C34" s="68" t="s">
        <v>287</v>
      </c>
      <c r="D34" s="68">
        <v>0</v>
      </c>
      <c r="E34" s="68">
        <v>0</v>
      </c>
      <c r="F34" s="68">
        <v>0.2</v>
      </c>
      <c r="G34" s="68">
        <v>0.2</v>
      </c>
      <c r="H34" s="68">
        <v>0.2</v>
      </c>
      <c r="I34" s="68">
        <v>0.2</v>
      </c>
      <c r="J34" s="68">
        <v>0.7</v>
      </c>
      <c r="K34" s="68">
        <v>0.7</v>
      </c>
      <c r="L34" s="68">
        <v>0.1</v>
      </c>
      <c r="M34" s="68">
        <v>0.1</v>
      </c>
      <c r="N34" s="68">
        <v>0.9</v>
      </c>
      <c r="O34" s="68">
        <v>0.9</v>
      </c>
      <c r="P34" s="68">
        <v>0.1</v>
      </c>
      <c r="Q34" s="68">
        <v>0.1</v>
      </c>
      <c r="R34" s="68">
        <v>1</v>
      </c>
      <c r="S34" s="68">
        <v>1</v>
      </c>
      <c r="T34" s="68">
        <v>0.1</v>
      </c>
      <c r="U34" s="68">
        <v>0.1</v>
      </c>
      <c r="V34" s="68">
        <v>1</v>
      </c>
      <c r="W34" s="68">
        <v>1</v>
      </c>
      <c r="X34" s="68">
        <v>0.1</v>
      </c>
      <c r="Y34" s="68">
        <v>0.1</v>
      </c>
      <c r="Z34" s="68">
        <v>0.8</v>
      </c>
      <c r="AA34" s="68">
        <v>0.8</v>
      </c>
      <c r="AB34" s="68">
        <v>0</v>
      </c>
      <c r="AC34" s="68">
        <v>0</v>
      </c>
      <c r="AD34" s="68">
        <v>1.1000000000000001</v>
      </c>
      <c r="AE34" s="68">
        <v>1.1000000000000001</v>
      </c>
      <c r="AF34" s="68">
        <v>0.3</v>
      </c>
      <c r="AG34" s="68">
        <v>0.3</v>
      </c>
      <c r="AH34" s="68">
        <v>1.1000000000000001</v>
      </c>
      <c r="AI34" s="68">
        <v>1.1000000000000001</v>
      </c>
      <c r="AJ34" s="68">
        <v>0.2</v>
      </c>
      <c r="AK34" s="68">
        <v>0.2</v>
      </c>
      <c r="AL34" s="68"/>
      <c r="AM34" s="68"/>
      <c r="AN34" s="68"/>
      <c r="AO34" s="68"/>
      <c r="AP34" s="68"/>
      <c r="AQ34" s="68"/>
    </row>
    <row r="35" spans="3:43" x14ac:dyDescent="0.25">
      <c r="C35" s="68" t="s">
        <v>288</v>
      </c>
      <c r="D35" s="68"/>
      <c r="E35" s="68"/>
      <c r="F35" s="68">
        <v>3</v>
      </c>
      <c r="G35" s="68">
        <v>3</v>
      </c>
      <c r="H35" s="68">
        <v>2.4</v>
      </c>
      <c r="I35" s="68">
        <v>2.4</v>
      </c>
      <c r="J35" s="68">
        <v>2.1</v>
      </c>
      <c r="K35" s="68">
        <v>2.1</v>
      </c>
      <c r="L35" s="68">
        <v>1.7</v>
      </c>
      <c r="M35" s="68">
        <v>1.7</v>
      </c>
      <c r="N35" s="68">
        <v>2.7</v>
      </c>
      <c r="O35" s="68">
        <v>2.7</v>
      </c>
      <c r="P35" s="68">
        <v>2.7</v>
      </c>
      <c r="Q35" s="68">
        <v>2.7</v>
      </c>
      <c r="R35" s="68">
        <v>2.7</v>
      </c>
      <c r="S35" s="68">
        <v>2.7</v>
      </c>
      <c r="T35" s="68">
        <v>2.4</v>
      </c>
      <c r="U35" s="68">
        <v>2.4</v>
      </c>
      <c r="V35" s="68">
        <v>2.8</v>
      </c>
      <c r="W35" s="68">
        <v>2.8</v>
      </c>
      <c r="X35" s="68">
        <v>2.7</v>
      </c>
      <c r="Y35" s="68">
        <v>2.7</v>
      </c>
      <c r="Z35" s="68">
        <v>3.8</v>
      </c>
      <c r="AA35" s="68">
        <v>3.8</v>
      </c>
      <c r="AB35" s="68">
        <v>3.6</v>
      </c>
      <c r="AC35" s="68">
        <v>3.6</v>
      </c>
      <c r="AD35" s="68">
        <v>4.4000000000000004</v>
      </c>
      <c r="AE35" s="68">
        <v>4.4000000000000004</v>
      </c>
      <c r="AF35" s="68">
        <v>4.5999999999999996</v>
      </c>
      <c r="AG35" s="68">
        <v>4.5999999999999996</v>
      </c>
      <c r="AH35" s="68">
        <v>4.5</v>
      </c>
      <c r="AI35" s="68">
        <v>4.5</v>
      </c>
      <c r="AJ35" s="68">
        <v>3.7</v>
      </c>
      <c r="AK35" s="68">
        <v>3.7</v>
      </c>
      <c r="AL35" s="68"/>
      <c r="AM35" s="68"/>
      <c r="AN35" s="68"/>
      <c r="AO35" s="68"/>
      <c r="AP35" s="68"/>
      <c r="AQ35" s="68"/>
    </row>
    <row r="37" spans="3:43" x14ac:dyDescent="0.25">
      <c r="C37" s="68" t="s">
        <v>289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>
        <v>2.2000000000000002</v>
      </c>
      <c r="U37" s="68">
        <v>2.2000000000000002</v>
      </c>
      <c r="V37" s="68">
        <v>1.9</v>
      </c>
      <c r="W37" s="68">
        <v>1.9</v>
      </c>
      <c r="X37" s="68">
        <v>1.6</v>
      </c>
      <c r="Y37" s="68">
        <v>1.6</v>
      </c>
      <c r="Z37" s="68">
        <v>1.3</v>
      </c>
      <c r="AA37" s="68">
        <v>1.3</v>
      </c>
      <c r="AB37" s="68">
        <v>1</v>
      </c>
      <c r="AC37" s="68">
        <v>1</v>
      </c>
      <c r="AD37" s="68">
        <v>0.7</v>
      </c>
      <c r="AE37" s="68">
        <v>0.7</v>
      </c>
      <c r="AF37" s="68">
        <v>0.4</v>
      </c>
      <c r="AG37" s="68">
        <v>0.4</v>
      </c>
      <c r="AH37" s="68">
        <v>0.1</v>
      </c>
      <c r="AI37" s="68">
        <v>0.1</v>
      </c>
      <c r="AJ37" s="68"/>
      <c r="AK37" s="68"/>
      <c r="AL37" s="68"/>
      <c r="AM37" s="68"/>
      <c r="AN37" s="68"/>
      <c r="AO37" s="68"/>
      <c r="AP37" s="68"/>
      <c r="AQ37" s="68"/>
    </row>
    <row r="38" spans="3:43" x14ac:dyDescent="0.25">
      <c r="C38" s="68" t="s">
        <v>290</v>
      </c>
      <c r="D38" s="68"/>
      <c r="E38" s="68"/>
      <c r="F38" s="68"/>
      <c r="G38" s="68"/>
      <c r="H38" s="68"/>
      <c r="I38" s="68"/>
      <c r="J38" s="68"/>
      <c r="K38" s="68"/>
      <c r="L38" s="68">
        <v>1.5</v>
      </c>
      <c r="M38" s="68">
        <v>1.5</v>
      </c>
      <c r="N38" s="68">
        <v>1.3</v>
      </c>
      <c r="O38" s="68">
        <v>1.3</v>
      </c>
      <c r="P38" s="68">
        <v>0.8</v>
      </c>
      <c r="Q38" s="68">
        <v>0.8</v>
      </c>
      <c r="R38" s="68">
        <v>0.6</v>
      </c>
      <c r="S38" s="68">
        <v>0.6</v>
      </c>
      <c r="T38" s="68">
        <v>0.3</v>
      </c>
      <c r="U38" s="68">
        <v>0.3</v>
      </c>
      <c r="V38" s="68">
        <v>0.2</v>
      </c>
      <c r="W38" s="68">
        <v>0.2</v>
      </c>
      <c r="X38" s="68">
        <v>0.3</v>
      </c>
      <c r="Y38" s="68">
        <v>0.3</v>
      </c>
      <c r="Z38" s="68">
        <v>2</v>
      </c>
      <c r="AA38" s="68">
        <v>2</v>
      </c>
      <c r="AB38" s="68">
        <v>2</v>
      </c>
      <c r="AC38" s="68">
        <v>2</v>
      </c>
      <c r="AD38" s="68">
        <v>2.2000000000000002</v>
      </c>
      <c r="AE38" s="68">
        <v>2.2000000000000002</v>
      </c>
      <c r="AF38" s="68">
        <v>1.4</v>
      </c>
      <c r="AG38" s="68">
        <v>1.4</v>
      </c>
      <c r="AH38" s="68">
        <v>0.9</v>
      </c>
      <c r="AI38" s="68">
        <v>0.9</v>
      </c>
      <c r="AJ38" s="68">
        <v>0.7</v>
      </c>
      <c r="AK38" s="68">
        <v>0.7</v>
      </c>
      <c r="AL38" s="68"/>
      <c r="AM38" s="68"/>
      <c r="AN38" s="68"/>
      <c r="AO38" s="68"/>
      <c r="AP38" s="68"/>
      <c r="AQ38" s="68"/>
    </row>
    <row r="39" spans="3:43" x14ac:dyDescent="0.25">
      <c r="C39" s="68" t="s">
        <v>291</v>
      </c>
      <c r="D39" s="68">
        <v>0</v>
      </c>
      <c r="E39" s="68">
        <v>0</v>
      </c>
      <c r="F39" s="68">
        <v>0.1</v>
      </c>
      <c r="G39" s="68">
        <v>0.1</v>
      </c>
      <c r="H39" s="68">
        <v>0.1</v>
      </c>
      <c r="I39" s="68">
        <v>0.1</v>
      </c>
      <c r="J39" s="68">
        <v>0.1</v>
      </c>
      <c r="K39" s="68">
        <v>0.1</v>
      </c>
      <c r="L39" s="68">
        <v>0.1</v>
      </c>
      <c r="M39" s="68">
        <v>0.1</v>
      </c>
      <c r="N39" s="68">
        <v>0.1</v>
      </c>
      <c r="O39" s="68">
        <v>0.1</v>
      </c>
      <c r="P39" s="68">
        <v>0.1</v>
      </c>
      <c r="Q39" s="68">
        <v>0.1</v>
      </c>
      <c r="R39" s="68">
        <v>0.1</v>
      </c>
      <c r="S39" s="68">
        <v>0.1</v>
      </c>
      <c r="T39" s="68">
        <v>0.1</v>
      </c>
      <c r="U39" s="68">
        <v>0.1</v>
      </c>
      <c r="V39" s="68">
        <v>0</v>
      </c>
      <c r="W39" s="68">
        <v>0</v>
      </c>
      <c r="X39" s="68">
        <v>0.1</v>
      </c>
      <c r="Y39" s="68">
        <v>0.1</v>
      </c>
      <c r="Z39" s="68">
        <v>0</v>
      </c>
      <c r="AA39" s="68">
        <v>0</v>
      </c>
      <c r="AB39" s="68">
        <v>0.1</v>
      </c>
      <c r="AC39" s="68">
        <v>0.1</v>
      </c>
      <c r="AD39" s="68">
        <v>0.1</v>
      </c>
      <c r="AE39" s="68">
        <v>0.1</v>
      </c>
      <c r="AF39" s="68">
        <v>0.1</v>
      </c>
      <c r="AG39" s="68">
        <v>0.1</v>
      </c>
      <c r="AH39" s="68">
        <v>0</v>
      </c>
      <c r="AI39" s="68">
        <v>0</v>
      </c>
      <c r="AJ39" s="68">
        <v>0</v>
      </c>
      <c r="AK39" s="68">
        <v>0</v>
      </c>
      <c r="AL39" s="68"/>
      <c r="AM39" s="68"/>
      <c r="AN39" s="68"/>
      <c r="AO39" s="68"/>
      <c r="AP39" s="68"/>
      <c r="AQ39" s="68"/>
    </row>
    <row r="40" spans="3:43" x14ac:dyDescent="0.25">
      <c r="C40" s="68" t="s">
        <v>57</v>
      </c>
      <c r="D40" s="68"/>
      <c r="E40" s="68"/>
      <c r="F40" s="68">
        <v>3.1</v>
      </c>
      <c r="G40" s="68">
        <v>3.1</v>
      </c>
      <c r="H40" s="68">
        <v>2.5</v>
      </c>
      <c r="I40" s="68">
        <v>2.5</v>
      </c>
      <c r="J40" s="68">
        <v>2.2999999999999998</v>
      </c>
      <c r="K40" s="68">
        <v>2.2999999999999998</v>
      </c>
      <c r="L40" s="68">
        <v>3.4</v>
      </c>
      <c r="M40" s="68">
        <v>3.4</v>
      </c>
      <c r="N40" s="68">
        <v>4.2</v>
      </c>
      <c r="O40" s="68">
        <v>4.2</v>
      </c>
      <c r="P40" s="68">
        <v>3.7</v>
      </c>
      <c r="Q40" s="68">
        <v>3.7</v>
      </c>
      <c r="R40" s="68">
        <v>3.3</v>
      </c>
      <c r="S40" s="68">
        <v>3.3</v>
      </c>
      <c r="T40" s="68">
        <v>5</v>
      </c>
      <c r="U40" s="68">
        <v>5</v>
      </c>
      <c r="V40" s="68">
        <v>5</v>
      </c>
      <c r="W40" s="68">
        <v>5</v>
      </c>
      <c r="X40" s="68">
        <v>4.7</v>
      </c>
      <c r="Y40" s="68">
        <v>4.7</v>
      </c>
      <c r="Z40" s="68">
        <v>7.2</v>
      </c>
      <c r="AA40" s="68">
        <v>7.2</v>
      </c>
      <c r="AB40" s="68">
        <v>6.7</v>
      </c>
      <c r="AC40" s="68">
        <v>6.7</v>
      </c>
      <c r="AD40" s="68">
        <v>7.4</v>
      </c>
      <c r="AE40" s="68">
        <v>7.4</v>
      </c>
      <c r="AF40" s="68">
        <v>6.5</v>
      </c>
      <c r="AG40" s="68">
        <v>6.5</v>
      </c>
      <c r="AH40" s="68">
        <v>5.5</v>
      </c>
      <c r="AI40" s="68">
        <v>5.5</v>
      </c>
      <c r="AJ40" s="68">
        <v>4.4000000000000004</v>
      </c>
      <c r="AK40" s="68">
        <v>4.4000000000000004</v>
      </c>
      <c r="AL40" s="68"/>
      <c r="AM40" s="68"/>
      <c r="AN40" s="68"/>
      <c r="AO40" s="68"/>
      <c r="AP40" s="68"/>
      <c r="AQ40" s="68"/>
    </row>
    <row r="42" spans="3:43" x14ac:dyDescent="0.25">
      <c r="C42" s="68" t="s">
        <v>292</v>
      </c>
      <c r="D42" s="68"/>
      <c r="E42" s="68"/>
      <c r="F42" s="68">
        <v>0</v>
      </c>
      <c r="G42" s="68">
        <v>0</v>
      </c>
      <c r="H42" s="68">
        <v>0</v>
      </c>
      <c r="I42" s="68">
        <v>0</v>
      </c>
      <c r="J42" s="68">
        <v>0</v>
      </c>
      <c r="K42" s="68">
        <v>0</v>
      </c>
      <c r="L42" s="68">
        <v>4.5999999999999996</v>
      </c>
      <c r="M42" s="68">
        <v>4.5999999999999996</v>
      </c>
      <c r="N42" s="68">
        <v>4.5999999999999996</v>
      </c>
      <c r="O42" s="68">
        <v>4.5999999999999996</v>
      </c>
      <c r="P42" s="68">
        <v>4.5999999999999996</v>
      </c>
      <c r="Q42" s="68">
        <v>4.5999999999999996</v>
      </c>
      <c r="R42" s="68">
        <v>4.5999999999999996</v>
      </c>
      <c r="S42" s="68">
        <v>4.5999999999999996</v>
      </c>
      <c r="T42" s="68">
        <v>4.5999999999999996</v>
      </c>
      <c r="U42" s="68">
        <v>4.5999999999999996</v>
      </c>
      <c r="V42" s="68">
        <v>4.5999999999999996</v>
      </c>
      <c r="W42" s="68">
        <v>4.5999999999999996</v>
      </c>
      <c r="X42" s="68">
        <v>4.5999999999999996</v>
      </c>
      <c r="Y42" s="68">
        <v>4.5999999999999996</v>
      </c>
      <c r="Z42" s="68">
        <v>4.5999999999999996</v>
      </c>
      <c r="AA42" s="68">
        <v>4.5999999999999996</v>
      </c>
      <c r="AB42" s="68">
        <v>4.5999999999999996</v>
      </c>
      <c r="AC42" s="68">
        <v>4.5999999999999996</v>
      </c>
      <c r="AD42" s="68">
        <v>4.5999999999999996</v>
      </c>
      <c r="AE42" s="68">
        <v>4.5999999999999996</v>
      </c>
      <c r="AF42" s="68">
        <v>4.5999999999999996</v>
      </c>
      <c r="AG42" s="68">
        <v>4.5999999999999996</v>
      </c>
      <c r="AH42" s="68">
        <v>4.5999999999999996</v>
      </c>
      <c r="AI42" s="68">
        <v>4.5999999999999996</v>
      </c>
      <c r="AJ42" s="68">
        <v>4.5999999999999996</v>
      </c>
      <c r="AK42" s="68">
        <v>4.5999999999999996</v>
      </c>
      <c r="AL42" s="68"/>
      <c r="AM42" s="68"/>
      <c r="AN42" s="68"/>
      <c r="AO42" s="68"/>
      <c r="AP42" s="68"/>
      <c r="AQ42" s="68"/>
    </row>
    <row r="43" spans="3:43" x14ac:dyDescent="0.25">
      <c r="C43" s="68" t="s">
        <v>293</v>
      </c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</row>
    <row r="44" spans="3:43" x14ac:dyDescent="0.25">
      <c r="C44" s="68" t="s">
        <v>294</v>
      </c>
      <c r="D44" s="68"/>
      <c r="E44" s="68"/>
      <c r="F44" s="68">
        <v>1.8</v>
      </c>
      <c r="G44" s="68">
        <v>1.8</v>
      </c>
      <c r="H44" s="68">
        <v>2.4</v>
      </c>
      <c r="I44" s="68">
        <v>2.4</v>
      </c>
      <c r="J44" s="68">
        <v>2.1</v>
      </c>
      <c r="K44" s="68">
        <v>2.1</v>
      </c>
      <c r="L44" s="68">
        <v>2.5</v>
      </c>
      <c r="M44" s="68">
        <v>2.5</v>
      </c>
      <c r="N44" s="68">
        <v>2.7</v>
      </c>
      <c r="O44" s="68">
        <v>2.7</v>
      </c>
      <c r="P44" s="68">
        <v>2.1</v>
      </c>
      <c r="Q44" s="68">
        <v>2.1</v>
      </c>
      <c r="R44" s="68">
        <v>0.8</v>
      </c>
      <c r="S44" s="68">
        <v>0.8</v>
      </c>
      <c r="T44" s="68">
        <v>1</v>
      </c>
      <c r="U44" s="68">
        <v>1</v>
      </c>
      <c r="V44" s="68">
        <v>0.5</v>
      </c>
      <c r="W44" s="68">
        <v>0.5</v>
      </c>
      <c r="X44" s="68">
        <v>0.8</v>
      </c>
      <c r="Y44" s="68">
        <v>0.8</v>
      </c>
      <c r="Z44" s="68">
        <v>1.3</v>
      </c>
      <c r="AA44" s="68">
        <v>1.3</v>
      </c>
      <c r="AB44" s="68">
        <v>1.6</v>
      </c>
      <c r="AC44" s="68">
        <v>1.6</v>
      </c>
      <c r="AD44" s="68">
        <v>1.7</v>
      </c>
      <c r="AE44" s="68">
        <v>1.7</v>
      </c>
      <c r="AF44" s="68">
        <v>2</v>
      </c>
      <c r="AG44" s="68">
        <v>2</v>
      </c>
      <c r="AH44" s="68">
        <v>2.6</v>
      </c>
      <c r="AI44" s="68">
        <v>2.6</v>
      </c>
      <c r="AJ44" s="68">
        <v>3.6</v>
      </c>
      <c r="AK44" s="68">
        <v>3.6</v>
      </c>
      <c r="AL44" s="68"/>
      <c r="AM44" s="68"/>
      <c r="AN44" s="68"/>
      <c r="AO44" s="68"/>
      <c r="AP44" s="68"/>
      <c r="AQ44" s="68"/>
    </row>
    <row r="45" spans="3:43" x14ac:dyDescent="0.25">
      <c r="C45" s="68" t="s">
        <v>295</v>
      </c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</row>
    <row r="46" spans="3:43" x14ac:dyDescent="0.25">
      <c r="C46" s="68" t="s">
        <v>296</v>
      </c>
      <c r="D46" s="68">
        <v>0.7</v>
      </c>
      <c r="E46" s="68">
        <v>0</v>
      </c>
      <c r="F46" s="68">
        <v>0</v>
      </c>
      <c r="G46" s="68">
        <v>0</v>
      </c>
      <c r="H46" s="68">
        <v>0</v>
      </c>
      <c r="I46" s="68">
        <v>0</v>
      </c>
      <c r="J46" s="68">
        <v>1.5</v>
      </c>
      <c r="K46" s="68">
        <v>1.5</v>
      </c>
      <c r="L46" s="68">
        <v>1.5</v>
      </c>
      <c r="M46" s="68">
        <v>1.5</v>
      </c>
      <c r="N46" s="68">
        <v>1.5</v>
      </c>
      <c r="O46" s="68">
        <v>1.5</v>
      </c>
      <c r="P46" s="68">
        <v>1.5</v>
      </c>
      <c r="Q46" s="68">
        <v>1.5</v>
      </c>
      <c r="R46" s="68">
        <v>1.5</v>
      </c>
      <c r="S46" s="68">
        <v>1.5</v>
      </c>
      <c r="T46" s="68">
        <v>1.5</v>
      </c>
      <c r="U46" s="68">
        <v>1.5</v>
      </c>
      <c r="V46" s="68">
        <v>1.5</v>
      </c>
      <c r="W46" s="68">
        <v>1.5</v>
      </c>
      <c r="X46" s="68">
        <v>1.5</v>
      </c>
      <c r="Y46" s="68">
        <v>1.5</v>
      </c>
      <c r="Z46" s="68">
        <v>1.5</v>
      </c>
      <c r="AA46" s="68">
        <v>1.5</v>
      </c>
      <c r="AB46" s="68">
        <v>1.5</v>
      </c>
      <c r="AC46" s="68">
        <v>1.5</v>
      </c>
      <c r="AD46" s="68">
        <v>1.5</v>
      </c>
      <c r="AE46" s="68">
        <v>1.5</v>
      </c>
      <c r="AF46" s="68">
        <v>1.5</v>
      </c>
      <c r="AG46" s="68">
        <v>1.5</v>
      </c>
      <c r="AH46" s="68">
        <v>1.5</v>
      </c>
      <c r="AI46" s="68">
        <v>1.5</v>
      </c>
      <c r="AJ46" s="68">
        <v>1.5</v>
      </c>
      <c r="AK46" s="68">
        <v>1.5</v>
      </c>
      <c r="AL46" s="68"/>
      <c r="AM46" s="68"/>
      <c r="AN46" s="68"/>
      <c r="AO46" s="68"/>
      <c r="AP46" s="68"/>
      <c r="AQ46" s="68"/>
    </row>
    <row r="47" spans="3:43" x14ac:dyDescent="0.25">
      <c r="C47" s="68" t="s">
        <v>297</v>
      </c>
      <c r="D47" s="68">
        <v>0.7</v>
      </c>
      <c r="E47" s="68"/>
      <c r="F47" s="68">
        <v>1.8</v>
      </c>
      <c r="G47" s="68">
        <v>1.8</v>
      </c>
      <c r="H47" s="68">
        <v>2.4</v>
      </c>
      <c r="I47" s="68">
        <v>2.4</v>
      </c>
      <c r="J47" s="68">
        <v>3.6</v>
      </c>
      <c r="K47" s="68">
        <v>3.6</v>
      </c>
      <c r="L47" s="68">
        <v>8.5</v>
      </c>
      <c r="M47" s="68">
        <v>8.5</v>
      </c>
      <c r="N47" s="68">
        <v>8.8000000000000007</v>
      </c>
      <c r="O47" s="68">
        <v>8.8000000000000007</v>
      </c>
      <c r="P47" s="68">
        <v>8.1999999999999993</v>
      </c>
      <c r="Q47" s="68">
        <v>8.1999999999999993</v>
      </c>
      <c r="R47" s="68">
        <v>6.8</v>
      </c>
      <c r="S47" s="68">
        <v>6.8</v>
      </c>
      <c r="T47" s="68">
        <v>7</v>
      </c>
      <c r="U47" s="68">
        <v>7</v>
      </c>
      <c r="V47" s="68">
        <v>6.5</v>
      </c>
      <c r="W47" s="68">
        <v>6.5</v>
      </c>
      <c r="X47" s="68">
        <v>6.8</v>
      </c>
      <c r="Y47" s="68">
        <v>6.8</v>
      </c>
      <c r="Z47" s="68">
        <v>7.3</v>
      </c>
      <c r="AA47" s="68">
        <v>7.3</v>
      </c>
      <c r="AB47" s="68">
        <v>7.6</v>
      </c>
      <c r="AC47" s="68">
        <v>7.6</v>
      </c>
      <c r="AD47" s="68">
        <v>7.7</v>
      </c>
      <c r="AE47" s="68">
        <v>7.7</v>
      </c>
      <c r="AF47" s="68">
        <v>8</v>
      </c>
      <c r="AG47" s="68">
        <v>8</v>
      </c>
      <c r="AH47" s="68">
        <v>8.6</v>
      </c>
      <c r="AI47" s="68">
        <v>8.6</v>
      </c>
      <c r="AJ47" s="68">
        <v>9.6999999999999993</v>
      </c>
      <c r="AK47" s="68">
        <v>9.6999999999999993</v>
      </c>
      <c r="AL47" s="68"/>
      <c r="AM47" s="68"/>
      <c r="AN47" s="68"/>
      <c r="AO47" s="68"/>
      <c r="AP47" s="68"/>
      <c r="AQ47" s="68"/>
    </row>
    <row r="48" spans="3:43" x14ac:dyDescent="0.25">
      <c r="C48" s="68" t="s">
        <v>298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</row>
    <row r="49" spans="3:43" x14ac:dyDescent="0.25">
      <c r="C49" s="68" t="s">
        <v>299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</row>
    <row r="50" spans="3:43" x14ac:dyDescent="0.25">
      <c r="C50" s="68" t="s">
        <v>300</v>
      </c>
      <c r="D50" s="68">
        <v>0</v>
      </c>
      <c r="E50" s="68">
        <v>0</v>
      </c>
      <c r="F50" s="68">
        <v>0</v>
      </c>
      <c r="G50" s="68">
        <v>0</v>
      </c>
      <c r="H50" s="68">
        <v>0</v>
      </c>
      <c r="I50" s="68">
        <v>0</v>
      </c>
      <c r="J50" s="68">
        <v>0</v>
      </c>
      <c r="K50" s="68">
        <v>0</v>
      </c>
      <c r="L50" s="68">
        <v>0</v>
      </c>
      <c r="M50" s="68">
        <v>0</v>
      </c>
      <c r="N50" s="68">
        <v>0</v>
      </c>
      <c r="O50" s="68">
        <v>0</v>
      </c>
      <c r="P50" s="68">
        <v>0</v>
      </c>
      <c r="Q50" s="68">
        <v>0</v>
      </c>
      <c r="R50" s="68">
        <v>0</v>
      </c>
      <c r="S50" s="68">
        <v>0</v>
      </c>
      <c r="T50" s="68">
        <v>0</v>
      </c>
      <c r="U50" s="68">
        <v>0</v>
      </c>
      <c r="V50" s="68">
        <v>0</v>
      </c>
      <c r="W50" s="68">
        <v>0</v>
      </c>
      <c r="X50" s="68">
        <v>0</v>
      </c>
      <c r="Y50" s="68">
        <v>0</v>
      </c>
      <c r="Z50" s="68">
        <v>0</v>
      </c>
      <c r="AA50" s="68">
        <v>0</v>
      </c>
      <c r="AB50" s="68">
        <v>0</v>
      </c>
      <c r="AC50" s="68">
        <v>0</v>
      </c>
      <c r="AD50" s="68">
        <v>0</v>
      </c>
      <c r="AE50" s="68">
        <v>0</v>
      </c>
      <c r="AF50" s="68">
        <v>0</v>
      </c>
      <c r="AG50" s="68">
        <v>0</v>
      </c>
      <c r="AH50" s="68">
        <v>0</v>
      </c>
      <c r="AI50" s="68">
        <v>0</v>
      </c>
      <c r="AJ50" s="68">
        <v>0</v>
      </c>
      <c r="AK50" s="68">
        <v>0</v>
      </c>
      <c r="AL50" s="68"/>
      <c r="AM50" s="68"/>
      <c r="AN50" s="68"/>
      <c r="AO50" s="68"/>
      <c r="AP50" s="68"/>
      <c r="AQ50" s="68"/>
    </row>
    <row r="51" spans="3:43" x14ac:dyDescent="0.25">
      <c r="C51" s="68" t="s">
        <v>154</v>
      </c>
      <c r="D51" s="68">
        <v>0.7</v>
      </c>
      <c r="E51" s="68"/>
      <c r="F51" s="68">
        <v>1.8</v>
      </c>
      <c r="G51" s="68">
        <v>1.8</v>
      </c>
      <c r="H51" s="68">
        <v>2.4</v>
      </c>
      <c r="I51" s="68">
        <v>2.4</v>
      </c>
      <c r="J51" s="68">
        <v>3.6</v>
      </c>
      <c r="K51" s="68">
        <v>3.6</v>
      </c>
      <c r="L51" s="68">
        <v>8.5</v>
      </c>
      <c r="M51" s="68">
        <v>8.5</v>
      </c>
      <c r="N51" s="68">
        <v>8.8000000000000007</v>
      </c>
      <c r="O51" s="68">
        <v>8.8000000000000007</v>
      </c>
      <c r="P51" s="68">
        <v>8.1999999999999993</v>
      </c>
      <c r="Q51" s="68">
        <v>8.1999999999999993</v>
      </c>
      <c r="R51" s="68">
        <v>6.8</v>
      </c>
      <c r="S51" s="68">
        <v>6.8</v>
      </c>
      <c r="T51" s="68">
        <v>7</v>
      </c>
      <c r="U51" s="68">
        <v>7</v>
      </c>
      <c r="V51" s="68">
        <v>6.5</v>
      </c>
      <c r="W51" s="68">
        <v>6.5</v>
      </c>
      <c r="X51" s="68">
        <v>6.8</v>
      </c>
      <c r="Y51" s="68">
        <v>6.8</v>
      </c>
      <c r="Z51" s="68">
        <v>7.3</v>
      </c>
      <c r="AA51" s="68">
        <v>7.3</v>
      </c>
      <c r="AB51" s="68">
        <v>7.6</v>
      </c>
      <c r="AC51" s="68">
        <v>7.6</v>
      </c>
      <c r="AD51" s="68">
        <v>7.7</v>
      </c>
      <c r="AE51" s="68">
        <v>7.7</v>
      </c>
      <c r="AF51" s="68">
        <v>8</v>
      </c>
      <c r="AG51" s="68">
        <v>8</v>
      </c>
      <c r="AH51" s="68">
        <v>8.6</v>
      </c>
      <c r="AI51" s="68">
        <v>8.6</v>
      </c>
      <c r="AJ51" s="68">
        <v>9.6999999999999993</v>
      </c>
      <c r="AK51" s="68">
        <v>9.6999999999999993</v>
      </c>
      <c r="AL51" s="68"/>
      <c r="AM51" s="68"/>
      <c r="AN51" s="68"/>
      <c r="AO51" s="68"/>
      <c r="AP51" s="68"/>
      <c r="AQ51" s="68"/>
    </row>
    <row r="53" spans="3:43" x14ac:dyDescent="0.25">
      <c r="C53" s="68" t="s">
        <v>301</v>
      </c>
      <c r="D53" s="68"/>
      <c r="E53" s="68"/>
      <c r="F53" s="68">
        <v>4.9000000000000004</v>
      </c>
      <c r="G53" s="68">
        <v>4.9000000000000004</v>
      </c>
      <c r="H53" s="68">
        <v>4.9000000000000004</v>
      </c>
      <c r="I53" s="68">
        <v>4.9000000000000004</v>
      </c>
      <c r="J53" s="68">
        <v>5.9</v>
      </c>
      <c r="K53" s="68">
        <v>5.9</v>
      </c>
      <c r="L53" s="68">
        <v>11.9</v>
      </c>
      <c r="M53" s="68">
        <v>11.9</v>
      </c>
      <c r="N53" s="68">
        <v>12.9</v>
      </c>
      <c r="O53" s="68">
        <v>12.9</v>
      </c>
      <c r="P53" s="68">
        <v>11.8</v>
      </c>
      <c r="Q53" s="68">
        <v>11.8</v>
      </c>
      <c r="R53" s="68">
        <v>10.199999999999999</v>
      </c>
      <c r="S53" s="68">
        <v>10.199999999999999</v>
      </c>
      <c r="T53" s="68">
        <v>12</v>
      </c>
      <c r="U53" s="68">
        <v>12</v>
      </c>
      <c r="V53" s="68">
        <v>11.5</v>
      </c>
      <c r="W53" s="68">
        <v>11.5</v>
      </c>
      <c r="X53" s="68">
        <v>11.5</v>
      </c>
      <c r="Y53" s="68">
        <v>11.5</v>
      </c>
      <c r="Z53" s="68">
        <v>14.5</v>
      </c>
      <c r="AA53" s="68">
        <v>14.5</v>
      </c>
      <c r="AB53" s="68">
        <v>14.4</v>
      </c>
      <c r="AC53" s="68">
        <v>14.4</v>
      </c>
      <c r="AD53" s="68">
        <v>15.1</v>
      </c>
      <c r="AE53" s="68">
        <v>15.1</v>
      </c>
      <c r="AF53" s="68">
        <v>14.6</v>
      </c>
      <c r="AG53" s="68">
        <v>14.6</v>
      </c>
      <c r="AH53" s="68">
        <v>14.1</v>
      </c>
      <c r="AI53" s="68">
        <v>14.1</v>
      </c>
      <c r="AJ53" s="68">
        <v>14.1</v>
      </c>
      <c r="AK53" s="68">
        <v>14.1</v>
      </c>
      <c r="AL53" s="68"/>
      <c r="AM53" s="68"/>
      <c r="AN53" s="68"/>
      <c r="AO53" s="68"/>
      <c r="AP53" s="68"/>
      <c r="AQ53" s="68"/>
    </row>
    <row r="55" spans="3:43" x14ac:dyDescent="0.25">
      <c r="C55" s="68" t="s">
        <v>302</v>
      </c>
      <c r="D55" s="68">
        <v>0.2</v>
      </c>
      <c r="E55" s="68"/>
      <c r="F55" s="68">
        <v>0.9</v>
      </c>
      <c r="G55" s="68">
        <v>0.9</v>
      </c>
      <c r="H55" s="68">
        <v>1.1000000000000001</v>
      </c>
      <c r="I55" s="68">
        <v>1.1000000000000001</v>
      </c>
      <c r="J55" s="68">
        <v>1</v>
      </c>
      <c r="K55" s="68">
        <v>1</v>
      </c>
      <c r="L55" s="68">
        <v>5.4</v>
      </c>
      <c r="M55" s="68">
        <v>5.4</v>
      </c>
      <c r="N55" s="68">
        <v>5.8</v>
      </c>
      <c r="O55" s="68">
        <v>5.8</v>
      </c>
      <c r="P55" s="68">
        <v>4.8</v>
      </c>
      <c r="Q55" s="68">
        <v>4.8</v>
      </c>
      <c r="R55" s="68">
        <v>4.5</v>
      </c>
      <c r="S55" s="68">
        <v>4.5</v>
      </c>
      <c r="T55" s="68">
        <v>5.9</v>
      </c>
      <c r="U55" s="68">
        <v>5.9</v>
      </c>
      <c r="V55" s="68">
        <v>4.9000000000000004</v>
      </c>
      <c r="W55" s="68">
        <v>4.9000000000000004</v>
      </c>
      <c r="X55" s="68">
        <v>4.0999999999999996</v>
      </c>
      <c r="Y55" s="68">
        <v>4.0999999999999996</v>
      </c>
      <c r="Z55" s="68">
        <v>3.8</v>
      </c>
      <c r="AA55" s="68">
        <v>3.8</v>
      </c>
      <c r="AB55" s="68">
        <v>1.8</v>
      </c>
      <c r="AC55" s="68">
        <v>1.8</v>
      </c>
      <c r="AD55" s="68">
        <v>2</v>
      </c>
      <c r="AE55" s="68">
        <v>2</v>
      </c>
      <c r="AF55" s="68">
        <v>1.7</v>
      </c>
      <c r="AG55" s="68">
        <v>1.7</v>
      </c>
      <c r="AH55" s="68">
        <v>2.7</v>
      </c>
      <c r="AI55" s="68">
        <v>2.7</v>
      </c>
      <c r="AJ55" s="68">
        <v>2.2999999999999998</v>
      </c>
      <c r="AK55" s="68">
        <v>2.2999999999999998</v>
      </c>
      <c r="AL55" s="68"/>
      <c r="AM55" s="68"/>
      <c r="AN55" s="68"/>
      <c r="AO55" s="68"/>
      <c r="AP55" s="68"/>
      <c r="AQ55" s="68"/>
    </row>
    <row r="56" spans="3:43" x14ac:dyDescent="0.25">
      <c r="C56" s="68" t="s">
        <v>303</v>
      </c>
      <c r="D56" s="68">
        <v>2.4</v>
      </c>
      <c r="E56" s="68"/>
      <c r="F56" s="68">
        <v>2.2999999999999998</v>
      </c>
      <c r="G56" s="68">
        <v>2.2999999999999998</v>
      </c>
      <c r="H56" s="68">
        <v>1.7</v>
      </c>
      <c r="I56" s="68">
        <v>1.7</v>
      </c>
      <c r="J56" s="68">
        <v>0.7</v>
      </c>
      <c r="K56" s="68">
        <v>0.7</v>
      </c>
      <c r="L56" s="68">
        <v>1.7</v>
      </c>
      <c r="M56" s="68">
        <v>1.7</v>
      </c>
      <c r="N56" s="68">
        <v>2.2999999999999998</v>
      </c>
      <c r="O56" s="68">
        <v>2.2999999999999998</v>
      </c>
      <c r="P56" s="68">
        <v>1.8</v>
      </c>
      <c r="Q56" s="68">
        <v>1.8</v>
      </c>
      <c r="R56" s="68">
        <v>1.4</v>
      </c>
      <c r="S56" s="68">
        <v>1.4</v>
      </c>
      <c r="T56" s="68">
        <v>3.3</v>
      </c>
      <c r="U56" s="68">
        <v>3.3</v>
      </c>
      <c r="V56" s="68">
        <v>3.2</v>
      </c>
      <c r="W56" s="68">
        <v>3.2</v>
      </c>
      <c r="X56" s="68">
        <v>2.9</v>
      </c>
      <c r="Y56" s="68">
        <v>2.9</v>
      </c>
      <c r="Z56" s="68">
        <v>4.8</v>
      </c>
      <c r="AA56" s="68">
        <v>4.8</v>
      </c>
      <c r="AB56" s="68">
        <v>4.7</v>
      </c>
      <c r="AC56" s="68">
        <v>4.7</v>
      </c>
      <c r="AD56" s="68">
        <v>4.9000000000000004</v>
      </c>
      <c r="AE56" s="68">
        <v>4.9000000000000004</v>
      </c>
      <c r="AF56" s="68">
        <v>3.9</v>
      </c>
      <c r="AG56" s="68">
        <v>3.9</v>
      </c>
      <c r="AH56" s="68">
        <v>3</v>
      </c>
      <c r="AI56" s="68">
        <v>3</v>
      </c>
      <c r="AJ56" s="68">
        <v>2.2999999999999998</v>
      </c>
      <c r="AK56" s="68">
        <v>2.2999999999999998</v>
      </c>
      <c r="AL56" s="68"/>
      <c r="AM56" s="68"/>
      <c r="AN56" s="68"/>
      <c r="AO56" s="68"/>
      <c r="AP56" s="68"/>
      <c r="AQ56" s="68"/>
    </row>
  </sheetData>
  <mergeCells count="2">
    <mergeCell ref="C2:E2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ncav</vt:lpstr>
      <vt:lpstr>profitability</vt:lpstr>
      <vt:lpstr>piotrosky</vt:lpstr>
      <vt:lpstr>C7</vt:lpstr>
      <vt:lpstr>ro</vt:lpstr>
      <vt:lpstr>ownership</vt:lpstr>
      <vt:lpstr>tsh_IS</vt:lpstr>
      <vt:lpstr>tsh_bs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Xander</dc:creator>
  <cp:lastModifiedBy>Xander Snyder</cp:lastModifiedBy>
  <dcterms:created xsi:type="dcterms:W3CDTF">2023-08-22T04:43:58Z</dcterms:created>
  <dcterms:modified xsi:type="dcterms:W3CDTF">2026-01-29T18:36:03Z</dcterms:modified>
</cp:coreProperties>
</file>